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Jesus\primer article ports\revision iScience\pre_acceptance resubmission\production changes\supp tables\"/>
    </mc:Choice>
  </mc:AlternateContent>
  <bookViews>
    <workbookView xWindow="0" yWindow="0" windowWidth="28800" windowHeight="12030"/>
  </bookViews>
  <sheets>
    <sheet name="PM" sheetId="4" r:id="rId1"/>
    <sheet name="PL" sheetId="5" r:id="rId2"/>
  </sheets>
  <calcPr calcId="191029"/>
</workbook>
</file>

<file path=xl/calcChain.xml><?xml version="1.0" encoding="utf-8"?>
<calcChain xmlns="http://schemas.openxmlformats.org/spreadsheetml/2006/main">
  <c r="G4" i="5" l="1"/>
  <c r="G5" i="5"/>
  <c r="G6" i="5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3" i="5"/>
  <c r="G2" i="5"/>
  <c r="G4" i="4"/>
  <c r="G5" i="4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" i="4"/>
  <c r="G2" i="4"/>
</calcChain>
</file>

<file path=xl/sharedStrings.xml><?xml version="1.0" encoding="utf-8"?>
<sst xmlns="http://schemas.openxmlformats.org/spreadsheetml/2006/main" count="1012" uniqueCount="325">
  <si>
    <t>p.value</t>
  </si>
  <si>
    <t>id</t>
  </si>
  <si>
    <t>rank</t>
  </si>
  <si>
    <t>scientific_name</t>
  </si>
  <si>
    <t>best_identity</t>
  </si>
  <si>
    <t>superkingdom_name</t>
  </si>
  <si>
    <t>phylum_name</t>
  </si>
  <si>
    <t>class_name</t>
  </si>
  <si>
    <t>order_name</t>
  </si>
  <si>
    <t>family_name</t>
  </si>
  <si>
    <t>genus_name</t>
  </si>
  <si>
    <t>species_name</t>
  </si>
  <si>
    <t>superkingdom</t>
  </si>
  <si>
    <t>Opisthokonta</t>
  </si>
  <si>
    <t>family</t>
  </si>
  <si>
    <t>Metazoa</t>
  </si>
  <si>
    <t>Arthropoda</t>
  </si>
  <si>
    <t>Ostracoda</t>
  </si>
  <si>
    <t>Podocopida</t>
  </si>
  <si>
    <t>clade</t>
  </si>
  <si>
    <t>Eumetazoa</t>
  </si>
  <si>
    <t>order</t>
  </si>
  <si>
    <t>Harpacticoida</t>
  </si>
  <si>
    <t>Maxillopoda</t>
  </si>
  <si>
    <t>Protostomia</t>
  </si>
  <si>
    <t>species</t>
  </si>
  <si>
    <t>Annelida</t>
  </si>
  <si>
    <t>Polychaeta</t>
  </si>
  <si>
    <t>Phyllodocida</t>
  </si>
  <si>
    <t>Syllidae</t>
  </si>
  <si>
    <t>phylum</t>
  </si>
  <si>
    <t>Bacillariophyta</t>
  </si>
  <si>
    <t>Chromalveolata</t>
  </si>
  <si>
    <t>Stramenopiles</t>
  </si>
  <si>
    <t>Bilateria</t>
  </si>
  <si>
    <t>Eukaryota</t>
  </si>
  <si>
    <t>Amphipoda</t>
  </si>
  <si>
    <t>Malacostraca</t>
  </si>
  <si>
    <t>class</t>
  </si>
  <si>
    <t>Hexanauplia</t>
  </si>
  <si>
    <t>Archaeplastida</t>
  </si>
  <si>
    <t>Rhodophyta</t>
  </si>
  <si>
    <t>Florideophyceae</t>
  </si>
  <si>
    <t>Ceramiales</t>
  </si>
  <si>
    <t>Cnidaria</t>
  </si>
  <si>
    <t>infraclass</t>
  </si>
  <si>
    <t>Neocopepoda</t>
  </si>
  <si>
    <t>Leptothecata</t>
  </si>
  <si>
    <t>Hydrozoa</t>
  </si>
  <si>
    <t>superorder</t>
  </si>
  <si>
    <t>Podoplea</t>
  </si>
  <si>
    <t>BLNS_000002226</t>
  </si>
  <si>
    <t>Berkeleya fennica</t>
  </si>
  <si>
    <t>Bacillariophyceae</t>
  </si>
  <si>
    <t>Naviculales</t>
  </si>
  <si>
    <t>Berkeleyaceae</t>
  </si>
  <si>
    <t>Berkeleya</t>
  </si>
  <si>
    <t>Ochrophyta</t>
  </si>
  <si>
    <t>Phaeophyceae</t>
  </si>
  <si>
    <t>genus</t>
  </si>
  <si>
    <t>Acoela</t>
  </si>
  <si>
    <t>Xenacoelomorpha</t>
  </si>
  <si>
    <t>BLNS_000052976</t>
  </si>
  <si>
    <t>Sar</t>
  </si>
  <si>
    <t>BLNS_000002342</t>
  </si>
  <si>
    <t>Clytiidae</t>
  </si>
  <si>
    <t>Clytia</t>
  </si>
  <si>
    <t>Vesiculariidae</t>
  </si>
  <si>
    <t>Bryozoa</t>
  </si>
  <si>
    <t>Gymnolaemata</t>
  </si>
  <si>
    <t>Ctenostomatida</t>
  </si>
  <si>
    <t>Calanoida</t>
  </si>
  <si>
    <t>BLNS_000052244</t>
  </si>
  <si>
    <t>Paracentrotus lividus</t>
  </si>
  <si>
    <t>Echinodermata</t>
  </si>
  <si>
    <t>Echinoidea</t>
  </si>
  <si>
    <t>Camarodonta</t>
  </si>
  <si>
    <t>Echinidae</t>
  </si>
  <si>
    <t>Paracentrotus</t>
  </si>
  <si>
    <t>Cheilostomatida</t>
  </si>
  <si>
    <t>Terebellida</t>
  </si>
  <si>
    <t>kingdom</t>
  </si>
  <si>
    <t>Chordata</t>
  </si>
  <si>
    <t>Ascidiacea</t>
  </si>
  <si>
    <t>BLNS_000001859</t>
  </si>
  <si>
    <t>BLNS_000003808</t>
  </si>
  <si>
    <t>Antithamnion cruciatum</t>
  </si>
  <si>
    <t>Ceramiaceae</t>
  </si>
  <si>
    <t>Antithamnion</t>
  </si>
  <si>
    <t>BLNS_000823408</t>
  </si>
  <si>
    <t>Alcyonacea</t>
  </si>
  <si>
    <t>Anthozoa</t>
  </si>
  <si>
    <t>Ectocarpales</t>
  </si>
  <si>
    <t>Stolidobranchia</t>
  </si>
  <si>
    <t>BLNS_000052313</t>
  </si>
  <si>
    <t>Hincksia</t>
  </si>
  <si>
    <t>Acinetosporaceae</t>
  </si>
  <si>
    <t>BLNS_000021700</t>
  </si>
  <si>
    <t>Terebellidae</t>
  </si>
  <si>
    <t>Nematoda</t>
  </si>
  <si>
    <t>Bangiophyceae</t>
  </si>
  <si>
    <t>Specificity</t>
  </si>
  <si>
    <t>Sensitivity</t>
  </si>
  <si>
    <t>Indval statistic</t>
  </si>
  <si>
    <t>Mean abundance</t>
  </si>
  <si>
    <t>Cumulative abundance</t>
  </si>
  <si>
    <t>BLNS_000000005</t>
  </si>
  <si>
    <t>Bugulina stolonifera</t>
  </si>
  <si>
    <t>Bugulidae</t>
  </si>
  <si>
    <t>Bugulina</t>
  </si>
  <si>
    <t>BLNS_000000028</t>
  </si>
  <si>
    <t>BLNS_000000216</t>
  </si>
  <si>
    <t>BLNS_000000033</t>
  </si>
  <si>
    <t>BLNS_000000298</t>
  </si>
  <si>
    <t>Enoplida</t>
  </si>
  <si>
    <t>Enoplea</t>
  </si>
  <si>
    <t>BLNS_000000715</t>
  </si>
  <si>
    <t>BLNS_000000860</t>
  </si>
  <si>
    <t>BLNS_000000174</t>
  </si>
  <si>
    <t>BLNS_000146279</t>
  </si>
  <si>
    <t>BLNS_000282168</t>
  </si>
  <si>
    <t>BLNS_000001628</t>
  </si>
  <si>
    <t>Imparidentia</t>
  </si>
  <si>
    <t>BLNS_000054693</t>
  </si>
  <si>
    <t>Acartia discaudata</t>
  </si>
  <si>
    <t>Acartiidae</t>
  </si>
  <si>
    <t>Acartia</t>
  </si>
  <si>
    <t>BLNS_000000578</t>
  </si>
  <si>
    <t>BLNS_000000170</t>
  </si>
  <si>
    <t>BLNS_000000442</t>
  </si>
  <si>
    <t>BLNS_000000389</t>
  </si>
  <si>
    <t>BLNS_000000600</t>
  </si>
  <si>
    <t>BLNS_000020712</t>
  </si>
  <si>
    <t>Paramecynostomum diversicolor</t>
  </si>
  <si>
    <t>Mecynostomidae</t>
  </si>
  <si>
    <t>Paramecynostomum</t>
  </si>
  <si>
    <t>BLNS_000005049</t>
  </si>
  <si>
    <t>BLNS_000001682</t>
  </si>
  <si>
    <t>BLNS_000000544</t>
  </si>
  <si>
    <t>Polydora</t>
  </si>
  <si>
    <t>Spionida</t>
  </si>
  <si>
    <t>Spionidae</t>
  </si>
  <si>
    <t>Neoporphyra haitanensis</t>
  </si>
  <si>
    <t>Bangiales</t>
  </si>
  <si>
    <t>Bangiaceae</t>
  </si>
  <si>
    <t>Neoporphyra</t>
  </si>
  <si>
    <t>BLNS_000000277</t>
  </si>
  <si>
    <t>BLNS_000106922</t>
  </si>
  <si>
    <t>super-group</t>
  </si>
  <si>
    <t>BLNS_000000069</t>
  </si>
  <si>
    <t>BLNS_000136369</t>
  </si>
  <si>
    <t>Paracartia grani</t>
  </si>
  <si>
    <t>Paracartia</t>
  </si>
  <si>
    <t>BLNS_000071302</t>
  </si>
  <si>
    <t>BLNS_000001637</t>
  </si>
  <si>
    <t>BLNS_000001961</t>
  </si>
  <si>
    <t>BLNS_000000256</t>
  </si>
  <si>
    <t>BLNS_000053739</t>
  </si>
  <si>
    <t>BLNS_000052208</t>
  </si>
  <si>
    <t>BLNS_000210804</t>
  </si>
  <si>
    <t>BLNS_000008011</t>
  </si>
  <si>
    <t>BLNS_000075257</t>
  </si>
  <si>
    <t>Cutleriales</t>
  </si>
  <si>
    <t>BLNS_000004608</t>
  </si>
  <si>
    <t>Feldmannia globifera</t>
  </si>
  <si>
    <t>Feldmannia</t>
  </si>
  <si>
    <t>BLNS_000001523</t>
  </si>
  <si>
    <t>BLNS_000001760</t>
  </si>
  <si>
    <t>BLNS_000002447</t>
  </si>
  <si>
    <t>Ectocarpus crouaniorum</t>
  </si>
  <si>
    <t>Ectocarpaceae</t>
  </si>
  <si>
    <t>Ectocarpus</t>
  </si>
  <si>
    <t>BLNS_000403776</t>
  </si>
  <si>
    <t>Stilophora sp. 2nov.BOLD AAI0042</t>
  </si>
  <si>
    <t>Chordariaceae</t>
  </si>
  <si>
    <t>Stilophora</t>
  </si>
  <si>
    <t>BLNS_000001128</t>
  </si>
  <si>
    <t>BLNS_000013062</t>
  </si>
  <si>
    <t>BLNS_000001618</t>
  </si>
  <si>
    <t>BLNS_000001493</t>
  </si>
  <si>
    <t>BLNS_000018623</t>
  </si>
  <si>
    <t>BLNS_000003333</t>
  </si>
  <si>
    <t>BLNS_000020751</t>
  </si>
  <si>
    <t>BLNS_000020303</t>
  </si>
  <si>
    <t>BLNS_000000552</t>
  </si>
  <si>
    <t>BLNS_000002672</t>
  </si>
  <si>
    <t>BLNS_000000308</t>
  </si>
  <si>
    <t>BLNS_000021166</t>
  </si>
  <si>
    <t>BLNS_000000575</t>
  </si>
  <si>
    <t>Parvamoeba rugata</t>
  </si>
  <si>
    <t>Amoebozoa</t>
  </si>
  <si>
    <t>Lobosa</t>
  </si>
  <si>
    <t>Discosea</t>
  </si>
  <si>
    <t>Flabellinia</t>
  </si>
  <si>
    <t>Himatismenida</t>
  </si>
  <si>
    <t>Parvamoeba</t>
  </si>
  <si>
    <t>BLNS_000612928</t>
  </si>
  <si>
    <t>Ectocarpus siliculosus</t>
  </si>
  <si>
    <t>BLNS_000023298</t>
  </si>
  <si>
    <t>Kuckuckia spinosa</t>
  </si>
  <si>
    <t>Kuckuckia</t>
  </si>
  <si>
    <t>BLNS_000226446</t>
  </si>
  <si>
    <t>BLNS_000635929</t>
  </si>
  <si>
    <t>BLNS_000185931</t>
  </si>
  <si>
    <t>BLNS_000607361</t>
  </si>
  <si>
    <t>Stictyosiphon soriferus</t>
  </si>
  <si>
    <t>Stictyosiphon</t>
  </si>
  <si>
    <t>BLNS_000109417</t>
  </si>
  <si>
    <t>BLNS_000366382</t>
  </si>
  <si>
    <t>Oomycota</t>
  </si>
  <si>
    <t>BLNS_000616358</t>
  </si>
  <si>
    <t>BLNS_000531500</t>
  </si>
  <si>
    <t>BLNS_000594757</t>
  </si>
  <si>
    <t>BLNS_000001973</t>
  </si>
  <si>
    <t>Cochliopodium pentatrifurcatum</t>
  </si>
  <si>
    <t>Cochliopodiidae</t>
  </si>
  <si>
    <t>Cochliopodium</t>
  </si>
  <si>
    <t>BLNS_000000612</t>
  </si>
  <si>
    <t>BLNS_000612829</t>
  </si>
  <si>
    <t>BLNS_000001676</t>
  </si>
  <si>
    <t>BLNS_000447547</t>
  </si>
  <si>
    <t>BLNS_000004563</t>
  </si>
  <si>
    <t>BLNS_000110367</t>
  </si>
  <si>
    <t>BLNS_000602751</t>
  </si>
  <si>
    <t>BLNS_000606615</t>
  </si>
  <si>
    <t>BLNS_000188407</t>
  </si>
  <si>
    <t>BLNS_000037374</t>
  </si>
  <si>
    <t>BLNS_000612652</t>
  </si>
  <si>
    <t>BLNS_000001726</t>
  </si>
  <si>
    <t>BLNS_000155218</t>
  </si>
  <si>
    <t>BLNS_000612892</t>
  </si>
  <si>
    <t>BLNS_000373588</t>
  </si>
  <si>
    <t>BLNS_000001451</t>
  </si>
  <si>
    <t>BLNS_000595467</t>
  </si>
  <si>
    <t>BLNS_000226386</t>
  </si>
  <si>
    <t>BLNS_000602614</t>
  </si>
  <si>
    <t>BLNS_000612630</t>
  </si>
  <si>
    <t>BLNS_000613105</t>
  </si>
  <si>
    <t>BLNS_000612665</t>
  </si>
  <si>
    <t>BLNS_000001571</t>
  </si>
  <si>
    <t>BLNS_000612629</t>
  </si>
  <si>
    <t>BLNS_000016965</t>
  </si>
  <si>
    <t>BLNS_000003007</t>
  </si>
  <si>
    <t>BLNS_000612938</t>
  </si>
  <si>
    <t>Hecatonema maculans</t>
  </si>
  <si>
    <t>Hecatonema</t>
  </si>
  <si>
    <t>BLNS_000000297</t>
  </si>
  <si>
    <t>BLNS_000002435</t>
  </si>
  <si>
    <t>BLNS_000021810</t>
  </si>
  <si>
    <t>BLNS_000055662</t>
  </si>
  <si>
    <t>BLNS_000001112</t>
  </si>
  <si>
    <t>BLNS_000017193</t>
  </si>
  <si>
    <t>BLNS_000022030</t>
  </si>
  <si>
    <t>BLNS_000075811</t>
  </si>
  <si>
    <t>BLNS_000002339</t>
  </si>
  <si>
    <t>BLNS_000069541</t>
  </si>
  <si>
    <t>BLNS_000137390</t>
  </si>
  <si>
    <t>BLNS_000184505</t>
  </si>
  <si>
    <t>BLNS_000411045</t>
  </si>
  <si>
    <t>BLNS_000612846</t>
  </si>
  <si>
    <t>BLNS_000025254</t>
  </si>
  <si>
    <t>BLNS_000271466</t>
  </si>
  <si>
    <t>BLNS_000612716</t>
  </si>
  <si>
    <t>Scytosiphon lomentaria</t>
  </si>
  <si>
    <t>Scytosiphonaceae</t>
  </si>
  <si>
    <t>Scytosiphon</t>
  </si>
  <si>
    <t>BLNS_000613079</t>
  </si>
  <si>
    <t>BLNS_000296200</t>
  </si>
  <si>
    <t>BLNS_000002059</t>
  </si>
  <si>
    <t>Asplanchna sieboldii</t>
  </si>
  <si>
    <t>Rotifera</t>
  </si>
  <si>
    <t>Monogononta</t>
  </si>
  <si>
    <t>Ploima</t>
  </si>
  <si>
    <t>Asplanchnidae</t>
  </si>
  <si>
    <t>Asplanchna</t>
  </si>
  <si>
    <t>BLNS_000000872</t>
  </si>
  <si>
    <t>BLNS_000020503</t>
  </si>
  <si>
    <t>BLNS_000595580</t>
  </si>
  <si>
    <t>BLNS_000036260</t>
  </si>
  <si>
    <t>BLNS_000367949</t>
  </si>
  <si>
    <t>BLNS_000170700</t>
  </si>
  <si>
    <t>BLNS_000716996</t>
  </si>
  <si>
    <t>BLNS_000683988</t>
  </si>
  <si>
    <t>BLNS_000002477</t>
  </si>
  <si>
    <t>BLNS_000000439</t>
  </si>
  <si>
    <t>BLNS_000716954</t>
  </si>
  <si>
    <t>Terebella lapidaria</t>
  </si>
  <si>
    <t>Terebella</t>
  </si>
  <si>
    <t>Unidentified</t>
  </si>
  <si>
    <t>BLNS_000366095</t>
  </si>
  <si>
    <t>BLNS_000106956</t>
  </si>
  <si>
    <t>BLNS_000612728</t>
  </si>
  <si>
    <t>BLNS_000098967</t>
  </si>
  <si>
    <t>BLNS_000007144</t>
  </si>
  <si>
    <t>BLNS_000001647</t>
  </si>
  <si>
    <t>BLNS_000169319</t>
  </si>
  <si>
    <t>BLNS_000055127</t>
  </si>
  <si>
    <t>BLNS_000184040</t>
  </si>
  <si>
    <t>BLNS_000051790</t>
  </si>
  <si>
    <t>BLNS_000612934</t>
  </si>
  <si>
    <t>BLNS_000021409</t>
  </si>
  <si>
    <t>BLNS_000410773</t>
  </si>
  <si>
    <t>BLNS_000008893</t>
  </si>
  <si>
    <t>BLNS_000704200</t>
  </si>
  <si>
    <t>BLNS_000001033</t>
  </si>
  <si>
    <t>BLNS_000001672</t>
  </si>
  <si>
    <t>BLNS_000614938</t>
  </si>
  <si>
    <t>BLNS_000081163</t>
  </si>
  <si>
    <t>BLNS_000074428</t>
  </si>
  <si>
    <t>BLNS_000289192</t>
  </si>
  <si>
    <t>BLNS_000642629</t>
  </si>
  <si>
    <t>BLNS_000411256</t>
  </si>
  <si>
    <t>BLNS_000058628</t>
  </si>
  <si>
    <t>Diptera</t>
  </si>
  <si>
    <t>Insecta</t>
  </si>
  <si>
    <t>Ecdysozoa</t>
  </si>
  <si>
    <t>Paralcyonium spinulosum</t>
  </si>
  <si>
    <t>Paralcyoniidae</t>
  </si>
  <si>
    <t>Paralcyonium</t>
  </si>
  <si>
    <t>Feldmannia sp.1LH</t>
  </si>
  <si>
    <t>Microcosmus squamiger</t>
  </si>
  <si>
    <t>Pyuridae</t>
  </si>
  <si>
    <t>Microcosmus</t>
  </si>
  <si>
    <t>Ascocyclus orbicularis</t>
  </si>
  <si>
    <t>Ascocyclus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</si>
</sst>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topLeftCell="A4" workbookViewId="0">
      <selection activeCell="G41" sqref="G41"/>
    </sheetView>
  </sheetViews>
  <sheetFormatPr baseColWidth="10" defaultRowHeight="15" x14ac:dyDescent="0.25"/>
  <cols>
    <col min="1" max="1" width="31.28515625" customWidth="1"/>
    <col min="9" max="9" width="25.5703125" customWidth="1"/>
  </cols>
  <sheetData>
    <row r="1" spans="1:18" x14ac:dyDescent="0.25">
      <c r="A1" t="s">
        <v>1</v>
      </c>
      <c r="B1" s="2" t="s">
        <v>101</v>
      </c>
      <c r="C1" s="2" t="s">
        <v>102</v>
      </c>
      <c r="D1" s="2" t="s">
        <v>103</v>
      </c>
      <c r="E1" s="2" t="s">
        <v>0</v>
      </c>
      <c r="F1" s="2" t="s">
        <v>104</v>
      </c>
      <c r="G1" s="3" t="s">
        <v>105</v>
      </c>
      <c r="H1" t="s">
        <v>2</v>
      </c>
      <c r="I1" t="s">
        <v>3</v>
      </c>
      <c r="J1" t="s">
        <v>4</v>
      </c>
      <c r="K1" t="s">
        <v>5</v>
      </c>
      <c r="L1" t="s">
        <v>148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18" x14ac:dyDescent="0.25">
      <c r="A2" t="s">
        <v>106</v>
      </c>
      <c r="B2">
        <v>0.96060000000000001</v>
      </c>
      <c r="C2">
        <v>0.76670000000000005</v>
      </c>
      <c r="D2">
        <v>0.85799999999999998</v>
      </c>
      <c r="E2">
        <v>7.0000000000000001E-3</v>
      </c>
      <c r="F2">
        <v>3.3450227999999999E-2</v>
      </c>
      <c r="G2">
        <f>F2</f>
        <v>3.3450227999999999E-2</v>
      </c>
      <c r="H2" t="s">
        <v>25</v>
      </c>
      <c r="I2" t="s">
        <v>107</v>
      </c>
      <c r="J2">
        <v>0.99363057300000002</v>
      </c>
      <c r="K2" t="s">
        <v>13</v>
      </c>
      <c r="L2" t="s">
        <v>15</v>
      </c>
      <c r="M2" t="s">
        <v>68</v>
      </c>
      <c r="N2" t="s">
        <v>69</v>
      </c>
      <c r="O2" t="s">
        <v>79</v>
      </c>
      <c r="P2" t="s">
        <v>108</v>
      </c>
      <c r="Q2" t="s">
        <v>109</v>
      </c>
      <c r="R2" t="s">
        <v>107</v>
      </c>
    </row>
    <row r="3" spans="1:18" x14ac:dyDescent="0.25">
      <c r="A3" t="s">
        <v>110</v>
      </c>
      <c r="B3">
        <v>0.94040000000000001</v>
      </c>
      <c r="C3">
        <v>0.8</v>
      </c>
      <c r="D3">
        <v>0.86699999999999999</v>
      </c>
      <c r="E3">
        <v>3.0000000000000001E-3</v>
      </c>
      <c r="F3">
        <v>1.4545053E-2</v>
      </c>
      <c r="G3">
        <f>G2+F3</f>
        <v>4.7995281000000001E-2</v>
      </c>
      <c r="H3" t="s">
        <v>21</v>
      </c>
      <c r="I3" t="s">
        <v>70</v>
      </c>
      <c r="J3">
        <v>0.828125</v>
      </c>
      <c r="K3" t="s">
        <v>13</v>
      </c>
      <c r="L3" t="s">
        <v>15</v>
      </c>
      <c r="M3" t="s">
        <v>68</v>
      </c>
      <c r="N3" t="s">
        <v>69</v>
      </c>
      <c r="O3" t="s">
        <v>70</v>
      </c>
    </row>
    <row r="4" spans="1:18" x14ac:dyDescent="0.25">
      <c r="A4" t="s">
        <v>116</v>
      </c>
      <c r="B4">
        <v>0.94710000000000005</v>
      </c>
      <c r="C4">
        <v>0.66669999999999996</v>
      </c>
      <c r="D4">
        <v>0.79500000000000004</v>
      </c>
      <c r="E4">
        <v>1.4E-2</v>
      </c>
      <c r="F4">
        <v>7.7879630000000002E-3</v>
      </c>
      <c r="G4">
        <f t="shared" ref="G4:G38" si="0">G3+F4</f>
        <v>5.5783244000000003E-2</v>
      </c>
      <c r="H4" t="s">
        <v>19</v>
      </c>
      <c r="I4" t="s">
        <v>34</v>
      </c>
      <c r="J4">
        <v>0.79192546600000002</v>
      </c>
      <c r="K4" t="s">
        <v>13</v>
      </c>
      <c r="L4" t="s">
        <v>15</v>
      </c>
    </row>
    <row r="5" spans="1:18" x14ac:dyDescent="0.25">
      <c r="A5" t="s">
        <v>149</v>
      </c>
      <c r="B5">
        <v>0.84770000000000001</v>
      </c>
      <c r="C5">
        <v>0.76670000000000005</v>
      </c>
      <c r="D5">
        <v>0.80600000000000005</v>
      </c>
      <c r="E5">
        <v>1E-3</v>
      </c>
      <c r="F5">
        <v>3.5510049999999999E-3</v>
      </c>
      <c r="G5">
        <f t="shared" si="0"/>
        <v>5.9334249000000006E-2</v>
      </c>
      <c r="H5" t="s">
        <v>19</v>
      </c>
      <c r="I5" t="s">
        <v>20</v>
      </c>
      <c r="J5">
        <v>0.77777777800000003</v>
      </c>
      <c r="K5" t="s">
        <v>13</v>
      </c>
      <c r="L5" t="s">
        <v>15</v>
      </c>
    </row>
    <row r="6" spans="1:18" x14ac:dyDescent="0.25">
      <c r="A6" t="s">
        <v>131</v>
      </c>
      <c r="B6">
        <v>0.9899</v>
      </c>
      <c r="C6">
        <v>0.3</v>
      </c>
      <c r="D6">
        <v>0.54500000000000004</v>
      </c>
      <c r="E6">
        <v>4.0000000000000001E-3</v>
      </c>
      <c r="F6">
        <v>2.4711640000000001E-3</v>
      </c>
      <c r="G6">
        <f t="shared" si="0"/>
        <v>6.1805413000000003E-2</v>
      </c>
      <c r="H6" t="s">
        <v>12</v>
      </c>
      <c r="I6" t="s">
        <v>35</v>
      </c>
      <c r="J6">
        <v>0.74923547400000001</v>
      </c>
    </row>
    <row r="7" spans="1:18" x14ac:dyDescent="0.25">
      <c r="A7" t="s">
        <v>153</v>
      </c>
      <c r="B7">
        <v>0.97009999999999996</v>
      </c>
      <c r="C7">
        <v>0.4</v>
      </c>
      <c r="D7">
        <v>0.623</v>
      </c>
      <c r="E7">
        <v>2E-3</v>
      </c>
      <c r="F7">
        <v>1.2722269999999999E-3</v>
      </c>
      <c r="G7">
        <f t="shared" si="0"/>
        <v>6.3077640000000004E-2</v>
      </c>
      <c r="H7" t="s">
        <v>21</v>
      </c>
      <c r="I7" t="s">
        <v>36</v>
      </c>
      <c r="J7">
        <v>0.92332268399999995</v>
      </c>
      <c r="K7" t="s">
        <v>13</v>
      </c>
      <c r="L7" t="s">
        <v>15</v>
      </c>
      <c r="M7" t="s">
        <v>16</v>
      </c>
      <c r="N7" t="s">
        <v>37</v>
      </c>
      <c r="O7" t="s">
        <v>36</v>
      </c>
    </row>
    <row r="8" spans="1:18" x14ac:dyDescent="0.25">
      <c r="A8" t="s">
        <v>112</v>
      </c>
      <c r="B8">
        <v>0.91269999999999996</v>
      </c>
      <c r="C8">
        <v>0.76670000000000005</v>
      </c>
      <c r="D8">
        <v>0.83599999999999997</v>
      </c>
      <c r="E8">
        <v>1E-3</v>
      </c>
      <c r="F8">
        <v>1.004554E-3</v>
      </c>
      <c r="G8">
        <f t="shared" si="0"/>
        <v>6.4082194000000009E-2</v>
      </c>
      <c r="H8" t="s">
        <v>14</v>
      </c>
      <c r="I8" t="s">
        <v>29</v>
      </c>
      <c r="J8">
        <v>0.81818181800000001</v>
      </c>
      <c r="K8" t="s">
        <v>13</v>
      </c>
      <c r="L8" t="s">
        <v>15</v>
      </c>
      <c r="M8" t="s">
        <v>26</v>
      </c>
      <c r="N8" t="s">
        <v>27</v>
      </c>
      <c r="O8" t="s">
        <v>28</v>
      </c>
      <c r="P8" t="s">
        <v>29</v>
      </c>
    </row>
    <row r="9" spans="1:18" x14ac:dyDescent="0.25">
      <c r="A9" t="s">
        <v>111</v>
      </c>
      <c r="B9">
        <v>0.83130000000000004</v>
      </c>
      <c r="C9">
        <v>0.73329999999999995</v>
      </c>
      <c r="D9">
        <v>0.78100000000000003</v>
      </c>
      <c r="E9">
        <v>3.0000000000000001E-3</v>
      </c>
      <c r="F9">
        <v>7.9633999999999998E-4</v>
      </c>
      <c r="G9">
        <f t="shared" si="0"/>
        <v>6.4878534000000015E-2</v>
      </c>
      <c r="H9" t="s">
        <v>49</v>
      </c>
      <c r="I9" t="s">
        <v>50</v>
      </c>
      <c r="J9">
        <v>0.80062305300000003</v>
      </c>
      <c r="K9" t="s">
        <v>13</v>
      </c>
      <c r="L9" t="s">
        <v>15</v>
      </c>
      <c r="M9" t="s">
        <v>16</v>
      </c>
      <c r="N9" t="s">
        <v>23</v>
      </c>
    </row>
    <row r="10" spans="1:18" x14ac:dyDescent="0.25">
      <c r="A10" t="s">
        <v>120</v>
      </c>
      <c r="B10">
        <v>0.81630000000000003</v>
      </c>
      <c r="C10">
        <v>0.4667</v>
      </c>
      <c r="D10">
        <v>0.61699999999999999</v>
      </c>
      <c r="E10">
        <v>2.3E-2</v>
      </c>
      <c r="F10">
        <v>7.0268900000000005E-4</v>
      </c>
      <c r="G10">
        <f t="shared" si="0"/>
        <v>6.5581223000000022E-2</v>
      </c>
      <c r="H10" t="s">
        <v>14</v>
      </c>
      <c r="I10" t="s">
        <v>67</v>
      </c>
      <c r="J10">
        <v>0.85403726700000004</v>
      </c>
      <c r="K10" t="s">
        <v>13</v>
      </c>
      <c r="L10" t="s">
        <v>15</v>
      </c>
      <c r="M10" t="s">
        <v>68</v>
      </c>
      <c r="N10" t="s">
        <v>69</v>
      </c>
      <c r="O10" t="s">
        <v>70</v>
      </c>
      <c r="P10" t="s">
        <v>67</v>
      </c>
    </row>
    <row r="11" spans="1:18" x14ac:dyDescent="0.25">
      <c r="A11" t="s">
        <v>119</v>
      </c>
      <c r="B11">
        <v>0.83169999999999999</v>
      </c>
      <c r="C11">
        <v>0.4667</v>
      </c>
      <c r="D11">
        <v>0.623</v>
      </c>
      <c r="E11">
        <v>0.05</v>
      </c>
      <c r="F11">
        <v>6.2086200000000002E-4</v>
      </c>
      <c r="G11">
        <f t="shared" si="0"/>
        <v>6.6202085000000022E-2</v>
      </c>
      <c r="H11" t="s">
        <v>19</v>
      </c>
      <c r="I11" t="s">
        <v>24</v>
      </c>
      <c r="J11">
        <v>0.81191222600000001</v>
      </c>
      <c r="K11" t="s">
        <v>13</v>
      </c>
      <c r="L11" t="s">
        <v>15</v>
      </c>
    </row>
    <row r="12" spans="1:18" x14ac:dyDescent="0.25">
      <c r="A12" t="s">
        <v>118</v>
      </c>
      <c r="B12">
        <v>0.90839999999999999</v>
      </c>
      <c r="C12">
        <v>0.63329999999999997</v>
      </c>
      <c r="D12">
        <v>0.75800000000000001</v>
      </c>
      <c r="E12">
        <v>1E-3</v>
      </c>
      <c r="F12">
        <v>4.2023700000000001E-4</v>
      </c>
      <c r="G12">
        <f t="shared" si="0"/>
        <v>6.6622322000000025E-2</v>
      </c>
      <c r="H12" t="s">
        <v>12</v>
      </c>
      <c r="I12" t="s">
        <v>35</v>
      </c>
      <c r="J12">
        <v>0.81424148600000001</v>
      </c>
    </row>
    <row r="13" spans="1:18" x14ac:dyDescent="0.25">
      <c r="A13" t="s">
        <v>113</v>
      </c>
      <c r="B13">
        <v>0.86599999999999999</v>
      </c>
      <c r="C13">
        <v>0.6</v>
      </c>
      <c r="D13">
        <v>0.72099999999999997</v>
      </c>
      <c r="E13">
        <v>3.0000000000000001E-3</v>
      </c>
      <c r="F13">
        <v>3.8795399999999998E-4</v>
      </c>
      <c r="G13">
        <f t="shared" si="0"/>
        <v>6.7010276000000021E-2</v>
      </c>
      <c r="H13" t="s">
        <v>21</v>
      </c>
      <c r="I13" t="s">
        <v>114</v>
      </c>
      <c r="J13">
        <v>0.96178343899999996</v>
      </c>
      <c r="K13" t="s">
        <v>13</v>
      </c>
      <c r="L13" t="s">
        <v>15</v>
      </c>
      <c r="M13" t="s">
        <v>99</v>
      </c>
      <c r="N13" t="s">
        <v>115</v>
      </c>
      <c r="O13" t="s">
        <v>114</v>
      </c>
    </row>
    <row r="14" spans="1:18" x14ac:dyDescent="0.25">
      <c r="A14" t="s">
        <v>278</v>
      </c>
      <c r="B14">
        <v>0.97250000000000003</v>
      </c>
      <c r="C14">
        <v>0.26669999999999999</v>
      </c>
      <c r="D14">
        <v>0.50900000000000001</v>
      </c>
      <c r="E14">
        <v>3.3000000000000002E-2</v>
      </c>
      <c r="F14">
        <v>3.4841599999999999E-4</v>
      </c>
      <c r="G14">
        <f t="shared" si="0"/>
        <v>6.7358692000000026E-2</v>
      </c>
      <c r="H14" t="s">
        <v>81</v>
      </c>
      <c r="I14" t="s">
        <v>15</v>
      </c>
      <c r="J14">
        <v>0.74018126900000003</v>
      </c>
      <c r="K14" t="s">
        <v>13</v>
      </c>
      <c r="L14" t="s">
        <v>15</v>
      </c>
    </row>
    <row r="15" spans="1:18" x14ac:dyDescent="0.25">
      <c r="A15" t="s">
        <v>150</v>
      </c>
      <c r="B15">
        <v>0.92330000000000001</v>
      </c>
      <c r="C15">
        <v>0.4667</v>
      </c>
      <c r="D15">
        <v>0.65600000000000003</v>
      </c>
      <c r="E15">
        <v>6.0000000000000001E-3</v>
      </c>
      <c r="F15">
        <v>3.4600499999999998E-4</v>
      </c>
      <c r="G15">
        <f t="shared" si="0"/>
        <v>6.7704697000000022E-2</v>
      </c>
      <c r="H15" t="s">
        <v>25</v>
      </c>
      <c r="I15" t="s">
        <v>151</v>
      </c>
      <c r="J15">
        <v>1</v>
      </c>
      <c r="K15" t="s">
        <v>13</v>
      </c>
      <c r="L15" t="s">
        <v>15</v>
      </c>
      <c r="M15" t="s">
        <v>16</v>
      </c>
      <c r="N15" t="s">
        <v>23</v>
      </c>
      <c r="O15" t="s">
        <v>71</v>
      </c>
      <c r="P15" t="s">
        <v>125</v>
      </c>
      <c r="Q15" t="s">
        <v>152</v>
      </c>
      <c r="R15" t="s">
        <v>151</v>
      </c>
    </row>
    <row r="16" spans="1:18" x14ac:dyDescent="0.25">
      <c r="A16" t="s">
        <v>279</v>
      </c>
      <c r="B16">
        <v>0.94969999999999999</v>
      </c>
      <c r="C16">
        <v>0.26669999999999999</v>
      </c>
      <c r="D16">
        <v>0.503</v>
      </c>
      <c r="E16">
        <v>2.1000000000000001E-2</v>
      </c>
      <c r="F16">
        <v>2.9497300000000002E-4</v>
      </c>
      <c r="G16">
        <f t="shared" si="0"/>
        <v>6.7999670000000026E-2</v>
      </c>
      <c r="H16" t="s">
        <v>25</v>
      </c>
      <c r="I16" t="s">
        <v>286</v>
      </c>
      <c r="J16">
        <v>0.97763578299999998</v>
      </c>
      <c r="K16" t="s">
        <v>13</v>
      </c>
      <c r="L16" t="s">
        <v>15</v>
      </c>
      <c r="M16" t="s">
        <v>26</v>
      </c>
      <c r="N16" t="s">
        <v>27</v>
      </c>
      <c r="O16" t="s">
        <v>80</v>
      </c>
      <c r="P16" t="s">
        <v>98</v>
      </c>
      <c r="Q16" t="s">
        <v>287</v>
      </c>
      <c r="R16" t="s">
        <v>286</v>
      </c>
    </row>
    <row r="17" spans="1:18" x14ac:dyDescent="0.25">
      <c r="A17" t="s">
        <v>117</v>
      </c>
      <c r="B17">
        <v>0.85619999999999996</v>
      </c>
      <c r="C17">
        <v>0.63329999999999997</v>
      </c>
      <c r="D17">
        <v>0.73599999999999999</v>
      </c>
      <c r="E17">
        <v>2E-3</v>
      </c>
      <c r="F17">
        <v>2.5362600000000001E-4</v>
      </c>
      <c r="G17">
        <f t="shared" si="0"/>
        <v>6.8253296000000033E-2</v>
      </c>
      <c r="H17" t="s">
        <v>19</v>
      </c>
      <c r="I17" t="s">
        <v>20</v>
      </c>
      <c r="J17">
        <v>0.72289156600000004</v>
      </c>
      <c r="K17" t="s">
        <v>13</v>
      </c>
      <c r="L17" t="s">
        <v>15</v>
      </c>
    </row>
    <row r="18" spans="1:18" x14ac:dyDescent="0.25">
      <c r="A18" t="s">
        <v>129</v>
      </c>
      <c r="B18">
        <v>0.95340000000000003</v>
      </c>
      <c r="C18">
        <v>0.33329999999999999</v>
      </c>
      <c r="D18">
        <v>0.56399999999999995</v>
      </c>
      <c r="E18">
        <v>1.2999999999999999E-2</v>
      </c>
      <c r="F18">
        <v>2.38543E-4</v>
      </c>
      <c r="G18">
        <f t="shared" si="0"/>
        <v>6.8491839000000027E-2</v>
      </c>
      <c r="H18" t="s">
        <v>81</v>
      </c>
      <c r="I18" t="s">
        <v>15</v>
      </c>
      <c r="J18">
        <v>0.73700305799999999</v>
      </c>
      <c r="K18" t="s">
        <v>13</v>
      </c>
      <c r="L18" t="s">
        <v>15</v>
      </c>
    </row>
    <row r="19" spans="1:18" x14ac:dyDescent="0.25">
      <c r="A19" t="s">
        <v>62</v>
      </c>
      <c r="B19">
        <v>0.95309999999999995</v>
      </c>
      <c r="C19">
        <v>0.26669999999999999</v>
      </c>
      <c r="D19">
        <v>0.504</v>
      </c>
      <c r="E19">
        <v>4.2000000000000003E-2</v>
      </c>
      <c r="F19">
        <v>2.2326099999999999E-4</v>
      </c>
      <c r="G19">
        <f t="shared" si="0"/>
        <v>6.8715100000000029E-2</v>
      </c>
      <c r="H19" t="s">
        <v>19</v>
      </c>
      <c r="I19" t="s">
        <v>63</v>
      </c>
      <c r="J19">
        <v>0.84375</v>
      </c>
    </row>
    <row r="20" spans="1:18" x14ac:dyDescent="0.25">
      <c r="A20" t="s">
        <v>280</v>
      </c>
      <c r="B20">
        <v>0.90939999999999999</v>
      </c>
      <c r="C20">
        <v>0.26669999999999999</v>
      </c>
      <c r="D20">
        <v>0.49199999999999999</v>
      </c>
      <c r="E20">
        <v>4.2999999999999997E-2</v>
      </c>
      <c r="F20">
        <v>1.96224E-4</v>
      </c>
      <c r="G20">
        <f t="shared" si="0"/>
        <v>6.8911324000000024E-2</v>
      </c>
      <c r="H20" t="s">
        <v>81</v>
      </c>
      <c r="I20" t="s">
        <v>15</v>
      </c>
      <c r="J20">
        <v>0.73252279600000003</v>
      </c>
      <c r="K20" t="s">
        <v>13</v>
      </c>
      <c r="L20" t="s">
        <v>15</v>
      </c>
    </row>
    <row r="21" spans="1:18" x14ac:dyDescent="0.25">
      <c r="A21" t="s">
        <v>137</v>
      </c>
      <c r="B21">
        <v>0.96450000000000002</v>
      </c>
      <c r="C21">
        <v>0.23330000000000001</v>
      </c>
      <c r="D21">
        <v>0.47399999999999998</v>
      </c>
      <c r="E21">
        <v>3.5999999999999997E-2</v>
      </c>
      <c r="F21">
        <v>1.9090099999999999E-4</v>
      </c>
      <c r="G21">
        <f t="shared" si="0"/>
        <v>6.9102225000000017E-2</v>
      </c>
      <c r="H21" t="s">
        <v>25</v>
      </c>
      <c r="I21" t="s">
        <v>133</v>
      </c>
      <c r="J21">
        <v>0.79503105600000001</v>
      </c>
      <c r="K21" t="s">
        <v>13</v>
      </c>
      <c r="L21" t="s">
        <v>15</v>
      </c>
      <c r="M21" t="s">
        <v>61</v>
      </c>
      <c r="N21" t="s">
        <v>60</v>
      </c>
      <c r="O21" t="s">
        <v>60</v>
      </c>
      <c r="P21" t="s">
        <v>134</v>
      </c>
      <c r="Q21" t="s">
        <v>135</v>
      </c>
      <c r="R21" t="s">
        <v>133</v>
      </c>
    </row>
    <row r="22" spans="1:18" x14ac:dyDescent="0.25">
      <c r="A22" t="s">
        <v>154</v>
      </c>
      <c r="B22">
        <v>0.9385</v>
      </c>
      <c r="C22">
        <v>0.26669999999999999</v>
      </c>
      <c r="D22">
        <v>0.5</v>
      </c>
      <c r="E22">
        <v>3.9E-2</v>
      </c>
      <c r="F22">
        <v>1.83983E-4</v>
      </c>
      <c r="G22">
        <f t="shared" si="0"/>
        <v>6.9286208000000016E-2</v>
      </c>
      <c r="H22" t="s">
        <v>12</v>
      </c>
      <c r="I22" t="s">
        <v>35</v>
      </c>
      <c r="J22">
        <v>0.80923076900000002</v>
      </c>
    </row>
    <row r="23" spans="1:18" x14ac:dyDescent="0.25">
      <c r="A23" t="s">
        <v>281</v>
      </c>
      <c r="B23">
        <v>0.98350000000000004</v>
      </c>
      <c r="C23">
        <v>0.2</v>
      </c>
      <c r="D23">
        <v>0.44400000000000001</v>
      </c>
      <c r="E23">
        <v>1.9E-2</v>
      </c>
      <c r="F23">
        <v>1.21742E-4</v>
      </c>
      <c r="G23">
        <f t="shared" si="0"/>
        <v>6.940795000000001E-2</v>
      </c>
      <c r="H23" t="s">
        <v>12</v>
      </c>
      <c r="I23" t="s">
        <v>35</v>
      </c>
      <c r="J23">
        <v>0.74018126900000003</v>
      </c>
    </row>
    <row r="24" spans="1:18" x14ac:dyDescent="0.25">
      <c r="A24" t="s">
        <v>128</v>
      </c>
      <c r="B24">
        <v>0.94850000000000001</v>
      </c>
      <c r="C24">
        <v>0.36670000000000003</v>
      </c>
      <c r="D24">
        <v>0.59</v>
      </c>
      <c r="E24">
        <v>4.0000000000000001E-3</v>
      </c>
      <c r="F24">
        <v>1.0790600000000001E-4</v>
      </c>
      <c r="G24">
        <f t="shared" si="0"/>
        <v>6.9515856000000015E-2</v>
      </c>
      <c r="H24" t="s">
        <v>14</v>
      </c>
      <c r="I24" t="s">
        <v>29</v>
      </c>
      <c r="J24">
        <v>0.82662538699999999</v>
      </c>
      <c r="K24" t="s">
        <v>13</v>
      </c>
      <c r="L24" t="s">
        <v>15</v>
      </c>
      <c r="M24" t="s">
        <v>26</v>
      </c>
      <c r="N24" t="s">
        <v>27</v>
      </c>
      <c r="O24" t="s">
        <v>28</v>
      </c>
      <c r="P24" t="s">
        <v>29</v>
      </c>
    </row>
    <row r="25" spans="1:18" x14ac:dyDescent="0.25">
      <c r="A25" t="s">
        <v>121</v>
      </c>
      <c r="B25">
        <v>0.78339999999999999</v>
      </c>
      <c r="C25">
        <v>0.5</v>
      </c>
      <c r="D25">
        <v>0.626</v>
      </c>
      <c r="E25">
        <v>1.4999999999999999E-2</v>
      </c>
      <c r="F25">
        <v>1.00084E-4</v>
      </c>
      <c r="G25">
        <f t="shared" si="0"/>
        <v>6.9615940000000015E-2</v>
      </c>
      <c r="H25" t="s">
        <v>49</v>
      </c>
      <c r="I25" t="s">
        <v>122</v>
      </c>
      <c r="J25">
        <v>0.82334384900000002</v>
      </c>
    </row>
    <row r="26" spans="1:18" x14ac:dyDescent="0.25">
      <c r="A26" t="s">
        <v>282</v>
      </c>
      <c r="B26">
        <v>0.87050000000000005</v>
      </c>
      <c r="C26">
        <v>0.4</v>
      </c>
      <c r="D26">
        <v>0.59</v>
      </c>
      <c r="E26">
        <v>6.0000000000000001E-3</v>
      </c>
      <c r="F26" s="1">
        <v>9.6600000000000003E-5</v>
      </c>
      <c r="G26">
        <f t="shared" si="0"/>
        <v>6.9712540000000017E-2</v>
      </c>
      <c r="H26" t="s">
        <v>12</v>
      </c>
      <c r="I26" t="s">
        <v>13</v>
      </c>
      <c r="J26">
        <v>0.78996865199999999</v>
      </c>
      <c r="K26" t="s">
        <v>13</v>
      </c>
    </row>
    <row r="27" spans="1:18" x14ac:dyDescent="0.25">
      <c r="A27" t="s">
        <v>283</v>
      </c>
      <c r="B27">
        <v>0.76219999999999999</v>
      </c>
      <c r="C27">
        <v>0.4</v>
      </c>
      <c r="D27">
        <v>0.55200000000000005</v>
      </c>
      <c r="E27">
        <v>0.05</v>
      </c>
      <c r="F27" s="1">
        <v>9.5699999999999995E-5</v>
      </c>
      <c r="G27">
        <f t="shared" si="0"/>
        <v>6.9808240000000021E-2</v>
      </c>
      <c r="H27" t="s">
        <v>21</v>
      </c>
      <c r="I27" t="s">
        <v>80</v>
      </c>
      <c r="J27">
        <v>0.84326018800000002</v>
      </c>
      <c r="K27" t="s">
        <v>13</v>
      </c>
      <c r="L27" t="s">
        <v>15</v>
      </c>
      <c r="M27" t="s">
        <v>26</v>
      </c>
      <c r="N27" t="s">
        <v>27</v>
      </c>
      <c r="O27" t="s">
        <v>80</v>
      </c>
    </row>
    <row r="28" spans="1:18" x14ac:dyDescent="0.25">
      <c r="A28" t="s">
        <v>127</v>
      </c>
      <c r="B28">
        <v>0.87190000000000001</v>
      </c>
      <c r="C28">
        <v>0.4</v>
      </c>
      <c r="D28">
        <v>0.59099999999999997</v>
      </c>
      <c r="E28">
        <v>7.0000000000000001E-3</v>
      </c>
      <c r="F28" s="1">
        <v>8.1299999999999997E-5</v>
      </c>
      <c r="G28">
        <f t="shared" si="0"/>
        <v>6.9889540000000028E-2</v>
      </c>
      <c r="H28" t="s">
        <v>19</v>
      </c>
      <c r="I28" t="s">
        <v>20</v>
      </c>
      <c r="J28">
        <v>0.78637770900000004</v>
      </c>
      <c r="K28" t="s">
        <v>13</v>
      </c>
      <c r="L28" t="s">
        <v>15</v>
      </c>
    </row>
    <row r="29" spans="1:18" x14ac:dyDescent="0.25">
      <c r="A29" t="s">
        <v>146</v>
      </c>
      <c r="B29">
        <v>1</v>
      </c>
      <c r="C29">
        <v>0.2</v>
      </c>
      <c r="D29">
        <v>0.44700000000000001</v>
      </c>
      <c r="E29">
        <v>3.4000000000000002E-2</v>
      </c>
      <c r="F29" s="1">
        <v>7.9400000000000006E-5</v>
      </c>
      <c r="G29">
        <f t="shared" si="0"/>
        <v>6.9968940000000021E-2</v>
      </c>
      <c r="H29" t="s">
        <v>21</v>
      </c>
      <c r="I29" t="s">
        <v>18</v>
      </c>
      <c r="J29">
        <v>0.80996884700000005</v>
      </c>
      <c r="K29" t="s">
        <v>13</v>
      </c>
      <c r="L29" t="s">
        <v>15</v>
      </c>
      <c r="M29" t="s">
        <v>16</v>
      </c>
      <c r="N29" t="s">
        <v>17</v>
      </c>
      <c r="O29" t="s">
        <v>18</v>
      </c>
    </row>
    <row r="30" spans="1:18" x14ac:dyDescent="0.25">
      <c r="A30" t="s">
        <v>132</v>
      </c>
      <c r="B30">
        <v>0.89539999999999997</v>
      </c>
      <c r="C30">
        <v>0.3</v>
      </c>
      <c r="D30">
        <v>0.51800000000000002</v>
      </c>
      <c r="E30">
        <v>1.6E-2</v>
      </c>
      <c r="F30" s="1">
        <v>6.5400000000000004E-5</v>
      </c>
      <c r="G30">
        <f t="shared" si="0"/>
        <v>7.0034340000000014E-2</v>
      </c>
      <c r="H30" t="s">
        <v>81</v>
      </c>
      <c r="I30" t="s">
        <v>15</v>
      </c>
      <c r="J30">
        <v>0.73432835799999996</v>
      </c>
      <c r="K30" t="s">
        <v>13</v>
      </c>
      <c r="L30" t="s">
        <v>15</v>
      </c>
    </row>
    <row r="31" spans="1:18" x14ac:dyDescent="0.25">
      <c r="A31" t="s">
        <v>72</v>
      </c>
      <c r="B31">
        <v>0.88619999999999999</v>
      </c>
      <c r="C31">
        <v>0.3</v>
      </c>
      <c r="D31">
        <v>0.51600000000000001</v>
      </c>
      <c r="E31">
        <v>1.7999999999999999E-2</v>
      </c>
      <c r="F31" s="1">
        <v>6.5199999999999999E-5</v>
      </c>
      <c r="G31">
        <f t="shared" si="0"/>
        <v>7.0099540000000016E-2</v>
      </c>
      <c r="H31" t="s">
        <v>25</v>
      </c>
      <c r="I31" t="s">
        <v>73</v>
      </c>
      <c r="J31">
        <v>1</v>
      </c>
      <c r="K31" t="s">
        <v>288</v>
      </c>
      <c r="L31" t="s">
        <v>15</v>
      </c>
      <c r="M31" t="s">
        <v>74</v>
      </c>
      <c r="N31" t="s">
        <v>75</v>
      </c>
      <c r="O31" t="s">
        <v>76</v>
      </c>
      <c r="P31" t="s">
        <v>77</v>
      </c>
      <c r="Q31" t="s">
        <v>78</v>
      </c>
      <c r="R31" t="s">
        <v>73</v>
      </c>
    </row>
    <row r="32" spans="1:18" x14ac:dyDescent="0.25">
      <c r="A32" t="s">
        <v>156</v>
      </c>
      <c r="B32">
        <v>0.91469999999999996</v>
      </c>
      <c r="C32">
        <v>0.23330000000000001</v>
      </c>
      <c r="D32">
        <v>0.46200000000000002</v>
      </c>
      <c r="E32">
        <v>2.8000000000000001E-2</v>
      </c>
      <c r="F32" s="1">
        <v>5.0800000000000002E-5</v>
      </c>
      <c r="G32">
        <f t="shared" si="0"/>
        <v>7.0150340000000019E-2</v>
      </c>
      <c r="H32" t="s">
        <v>12</v>
      </c>
      <c r="I32" t="s">
        <v>35</v>
      </c>
      <c r="J32">
        <v>0.829192547</v>
      </c>
    </row>
    <row r="33" spans="1:16" x14ac:dyDescent="0.25">
      <c r="A33" t="s">
        <v>155</v>
      </c>
      <c r="B33">
        <v>1</v>
      </c>
      <c r="C33">
        <v>0.23330000000000001</v>
      </c>
      <c r="D33">
        <v>0.48299999999999998</v>
      </c>
      <c r="E33">
        <v>1.4E-2</v>
      </c>
      <c r="F33" s="1">
        <v>4.7700000000000001E-5</v>
      </c>
      <c r="G33">
        <f t="shared" si="0"/>
        <v>7.0198040000000017E-2</v>
      </c>
      <c r="H33" t="s">
        <v>45</v>
      </c>
      <c r="I33" t="s">
        <v>46</v>
      </c>
      <c r="J33">
        <v>0.79076923099999996</v>
      </c>
      <c r="K33" t="s">
        <v>13</v>
      </c>
      <c r="L33" t="s">
        <v>15</v>
      </c>
      <c r="M33" t="s">
        <v>16</v>
      </c>
      <c r="N33" t="s">
        <v>23</v>
      </c>
    </row>
    <row r="34" spans="1:16" x14ac:dyDescent="0.25">
      <c r="A34" t="s">
        <v>130</v>
      </c>
      <c r="B34">
        <v>0.9627</v>
      </c>
      <c r="C34">
        <v>0.33329999999999999</v>
      </c>
      <c r="D34">
        <v>0.56599999999999995</v>
      </c>
      <c r="E34">
        <v>2E-3</v>
      </c>
      <c r="F34" s="1">
        <v>4.6199999999999998E-5</v>
      </c>
      <c r="G34">
        <f t="shared" si="0"/>
        <v>7.0244240000000013E-2</v>
      </c>
      <c r="H34" t="s">
        <v>21</v>
      </c>
      <c r="I34" t="s">
        <v>114</v>
      </c>
      <c r="J34">
        <v>0.96805111799999999</v>
      </c>
      <c r="K34" t="s">
        <v>13</v>
      </c>
      <c r="L34" t="s">
        <v>15</v>
      </c>
      <c r="M34" t="s">
        <v>99</v>
      </c>
      <c r="N34" t="s">
        <v>115</v>
      </c>
      <c r="O34" t="s">
        <v>114</v>
      </c>
    </row>
    <row r="35" spans="1:16" x14ac:dyDescent="0.25">
      <c r="A35" t="s">
        <v>157</v>
      </c>
      <c r="B35">
        <v>0.93759999999999999</v>
      </c>
      <c r="C35">
        <v>0.2</v>
      </c>
      <c r="D35">
        <v>0.433</v>
      </c>
      <c r="E35">
        <v>3.5999999999999997E-2</v>
      </c>
      <c r="F35" s="1">
        <v>3.8800000000000001E-5</v>
      </c>
      <c r="G35">
        <f t="shared" si="0"/>
        <v>7.0283040000000019E-2</v>
      </c>
      <c r="H35" t="s">
        <v>12</v>
      </c>
      <c r="I35" t="s">
        <v>35</v>
      </c>
      <c r="J35">
        <v>0.76758409800000005</v>
      </c>
    </row>
    <row r="36" spans="1:16" x14ac:dyDescent="0.25">
      <c r="A36" t="s">
        <v>158</v>
      </c>
      <c r="B36">
        <v>0.93979999999999997</v>
      </c>
      <c r="C36">
        <v>0.23330000000000001</v>
      </c>
      <c r="D36">
        <v>0.46800000000000003</v>
      </c>
      <c r="E36">
        <v>2.3E-2</v>
      </c>
      <c r="F36" s="1">
        <v>3.54E-5</v>
      </c>
      <c r="G36">
        <f t="shared" si="0"/>
        <v>7.0318440000000024E-2</v>
      </c>
      <c r="H36" t="s">
        <v>14</v>
      </c>
      <c r="I36" t="s">
        <v>67</v>
      </c>
      <c r="J36">
        <v>0.82153846200000002</v>
      </c>
      <c r="K36" t="s">
        <v>13</v>
      </c>
      <c r="L36" t="s">
        <v>15</v>
      </c>
      <c r="M36" t="s">
        <v>68</v>
      </c>
      <c r="N36" t="s">
        <v>69</v>
      </c>
      <c r="O36" t="s">
        <v>70</v>
      </c>
      <c r="P36" t="s">
        <v>67</v>
      </c>
    </row>
    <row r="37" spans="1:16" x14ac:dyDescent="0.25">
      <c r="A37" t="s">
        <v>284</v>
      </c>
      <c r="B37">
        <v>0.9224</v>
      </c>
      <c r="C37">
        <v>0.2</v>
      </c>
      <c r="D37">
        <v>0.43</v>
      </c>
      <c r="E37">
        <v>3.2000000000000001E-2</v>
      </c>
      <c r="F37" s="1">
        <v>2.5199999999999999E-5</v>
      </c>
      <c r="G37">
        <f t="shared" si="0"/>
        <v>7.0343640000000027E-2</v>
      </c>
      <c r="H37" t="s">
        <v>38</v>
      </c>
      <c r="I37" t="s">
        <v>53</v>
      </c>
      <c r="J37">
        <v>0.83492063500000002</v>
      </c>
      <c r="K37" t="s">
        <v>32</v>
      </c>
      <c r="L37" t="s">
        <v>33</v>
      </c>
      <c r="M37" t="s">
        <v>31</v>
      </c>
      <c r="N37" t="s">
        <v>53</v>
      </c>
    </row>
    <row r="38" spans="1:16" x14ac:dyDescent="0.25">
      <c r="A38" t="s">
        <v>285</v>
      </c>
      <c r="B38">
        <v>1</v>
      </c>
      <c r="C38">
        <v>0.16669999999999999</v>
      </c>
      <c r="D38">
        <v>0.40799999999999997</v>
      </c>
      <c r="E38">
        <v>4.5999999999999999E-2</v>
      </c>
      <c r="F38" s="1">
        <v>1.8499999999999999E-5</v>
      </c>
      <c r="G38">
        <f t="shared" si="0"/>
        <v>7.0362140000000031E-2</v>
      </c>
      <c r="H38" t="s">
        <v>81</v>
      </c>
      <c r="I38" t="s">
        <v>15</v>
      </c>
      <c r="J38">
        <v>0.72644376899999996</v>
      </c>
      <c r="K38" t="s">
        <v>13</v>
      </c>
      <c r="L38" t="s">
        <v>15</v>
      </c>
    </row>
    <row r="39" spans="1:16" x14ac:dyDescent="0.25">
      <c r="F39" s="1"/>
    </row>
  </sheetData>
  <sortState ref="A2:R39">
    <sortCondition descending="1" ref="F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Views>
    <sheetView workbookViewId="0">
      <selection activeCell="G15" sqref="G15"/>
    </sheetView>
  </sheetViews>
  <sheetFormatPr baseColWidth="10" defaultRowHeight="15" x14ac:dyDescent="0.25"/>
  <cols>
    <col min="1" max="1" width="17.140625" customWidth="1"/>
  </cols>
  <sheetData>
    <row r="1" spans="1:18" x14ac:dyDescent="0.25">
      <c r="A1" t="s">
        <v>1</v>
      </c>
      <c r="B1" s="2" t="s">
        <v>101</v>
      </c>
      <c r="C1" s="2" t="s">
        <v>102</v>
      </c>
      <c r="D1" s="2" t="s">
        <v>103</v>
      </c>
      <c r="E1" s="2" t="s">
        <v>0</v>
      </c>
      <c r="F1" s="2" t="s">
        <v>104</v>
      </c>
      <c r="G1" s="3" t="s">
        <v>105</v>
      </c>
      <c r="H1" t="s">
        <v>2</v>
      </c>
      <c r="I1" t="s">
        <v>3</v>
      </c>
      <c r="J1" t="s">
        <v>4</v>
      </c>
      <c r="K1" t="s">
        <v>5</v>
      </c>
      <c r="L1" t="s">
        <v>148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18" x14ac:dyDescent="0.25">
      <c r="A2" t="s">
        <v>123</v>
      </c>
      <c r="B2">
        <v>0.95909999999999995</v>
      </c>
      <c r="C2">
        <v>0.5333</v>
      </c>
      <c r="D2">
        <v>0.71499999999999997</v>
      </c>
      <c r="E2">
        <v>4.5999999999999999E-2</v>
      </c>
      <c r="F2">
        <v>3.6561300000000001E-3</v>
      </c>
      <c r="G2">
        <f>F2</f>
        <v>3.6561300000000001E-3</v>
      </c>
      <c r="H2" t="s">
        <v>25</v>
      </c>
      <c r="I2" t="s">
        <v>124</v>
      </c>
      <c r="J2">
        <v>0.81818181800000001</v>
      </c>
      <c r="K2" t="s">
        <v>13</v>
      </c>
      <c r="L2" t="s">
        <v>15</v>
      </c>
      <c r="M2" t="s">
        <v>16</v>
      </c>
      <c r="N2" t="s">
        <v>23</v>
      </c>
      <c r="O2" t="s">
        <v>71</v>
      </c>
      <c r="P2" t="s">
        <v>125</v>
      </c>
      <c r="Q2" t="s">
        <v>126</v>
      </c>
      <c r="R2" t="s">
        <v>124</v>
      </c>
    </row>
    <row r="3" spans="1:18" x14ac:dyDescent="0.25">
      <c r="A3" t="s">
        <v>167</v>
      </c>
      <c r="B3">
        <v>0.88160000000000005</v>
      </c>
      <c r="C3">
        <v>0.5</v>
      </c>
      <c r="D3">
        <v>0.66400000000000003</v>
      </c>
      <c r="E3">
        <v>4.2999999999999997E-2</v>
      </c>
      <c r="F3">
        <v>3.4259809999999998E-3</v>
      </c>
      <c r="G3">
        <f>G2+F3</f>
        <v>7.0821110000000003E-3</v>
      </c>
      <c r="H3" t="s">
        <v>81</v>
      </c>
      <c r="I3" t="s">
        <v>15</v>
      </c>
      <c r="J3">
        <v>0.74242424200000001</v>
      </c>
      <c r="K3" t="s">
        <v>13</v>
      </c>
      <c r="L3" t="s">
        <v>15</v>
      </c>
    </row>
    <row r="4" spans="1:18" x14ac:dyDescent="0.25">
      <c r="A4" t="s">
        <v>84</v>
      </c>
      <c r="B4">
        <v>0.99760000000000004</v>
      </c>
      <c r="C4">
        <v>0.43330000000000002</v>
      </c>
      <c r="D4">
        <v>0.65700000000000003</v>
      </c>
      <c r="E4">
        <v>5.0000000000000001E-3</v>
      </c>
      <c r="F4">
        <v>3.258932E-3</v>
      </c>
      <c r="G4">
        <f t="shared" ref="G4:G67" si="0">G3+F4</f>
        <v>1.0341043000000001E-2</v>
      </c>
      <c r="H4" t="s">
        <v>12</v>
      </c>
      <c r="I4" t="s">
        <v>35</v>
      </c>
      <c r="J4">
        <v>0.76073619599999998</v>
      </c>
    </row>
    <row r="5" spans="1:18" x14ac:dyDescent="0.25">
      <c r="A5" t="s">
        <v>51</v>
      </c>
      <c r="B5">
        <v>0.98909999999999998</v>
      </c>
      <c r="C5">
        <v>0.4667</v>
      </c>
      <c r="D5">
        <v>0.67900000000000005</v>
      </c>
      <c r="E5">
        <v>1E-3</v>
      </c>
      <c r="F5">
        <v>3.1885699999999999E-3</v>
      </c>
      <c r="G5">
        <f t="shared" si="0"/>
        <v>1.3529613000000001E-2</v>
      </c>
      <c r="H5" t="s">
        <v>49</v>
      </c>
      <c r="I5" t="s">
        <v>50</v>
      </c>
      <c r="J5">
        <v>0.81818181800000001</v>
      </c>
      <c r="K5" t="s">
        <v>13</v>
      </c>
      <c r="L5" t="s">
        <v>15</v>
      </c>
      <c r="M5" t="s">
        <v>16</v>
      </c>
      <c r="N5" t="s">
        <v>23</v>
      </c>
    </row>
    <row r="6" spans="1:18" x14ac:dyDescent="0.25">
      <c r="A6" t="s">
        <v>289</v>
      </c>
      <c r="B6">
        <v>0.99919999999999998</v>
      </c>
      <c r="C6">
        <v>0.2</v>
      </c>
      <c r="D6">
        <v>0.44700000000000001</v>
      </c>
      <c r="E6">
        <v>2.3E-2</v>
      </c>
      <c r="F6">
        <v>2.8429449999999999E-3</v>
      </c>
      <c r="G6">
        <f t="shared" si="0"/>
        <v>1.6372558000000002E-2</v>
      </c>
      <c r="H6" t="s">
        <v>21</v>
      </c>
      <c r="I6" t="s">
        <v>313</v>
      </c>
      <c r="J6">
        <v>0.90445859900000003</v>
      </c>
      <c r="K6" t="s">
        <v>13</v>
      </c>
      <c r="L6" t="s">
        <v>15</v>
      </c>
      <c r="M6" t="s">
        <v>16</v>
      </c>
      <c r="N6" t="s">
        <v>314</v>
      </c>
      <c r="O6" t="s">
        <v>313</v>
      </c>
    </row>
    <row r="7" spans="1:18" x14ac:dyDescent="0.25">
      <c r="A7" t="s">
        <v>147</v>
      </c>
      <c r="B7">
        <v>0.98140000000000005</v>
      </c>
      <c r="C7">
        <v>0.4</v>
      </c>
      <c r="D7">
        <v>0.627</v>
      </c>
      <c r="E7">
        <v>1.0999999999999999E-2</v>
      </c>
      <c r="F7">
        <v>2.7190729999999998E-3</v>
      </c>
      <c r="G7">
        <f t="shared" si="0"/>
        <v>1.9091631000000001E-2</v>
      </c>
      <c r="H7" t="s">
        <v>49</v>
      </c>
      <c r="I7" t="s">
        <v>50</v>
      </c>
      <c r="J7">
        <v>0.81329113900000005</v>
      </c>
      <c r="K7" t="s">
        <v>13</v>
      </c>
      <c r="L7" t="s">
        <v>15</v>
      </c>
      <c r="M7" t="s">
        <v>16</v>
      </c>
      <c r="N7" t="s">
        <v>23</v>
      </c>
    </row>
    <row r="8" spans="1:18" x14ac:dyDescent="0.25">
      <c r="A8" t="s">
        <v>161</v>
      </c>
      <c r="B8">
        <v>0.99619999999999997</v>
      </c>
      <c r="C8">
        <v>0.43330000000000002</v>
      </c>
      <c r="D8">
        <v>0.65700000000000003</v>
      </c>
      <c r="E8">
        <v>1E-3</v>
      </c>
      <c r="F8">
        <v>2.4083780000000001E-3</v>
      </c>
      <c r="G8">
        <f t="shared" si="0"/>
        <v>2.1500009E-2</v>
      </c>
      <c r="H8" t="s">
        <v>21</v>
      </c>
      <c r="I8" t="s">
        <v>162</v>
      </c>
      <c r="J8">
        <v>0.99041533500000001</v>
      </c>
      <c r="K8" t="s">
        <v>32</v>
      </c>
      <c r="L8" t="s">
        <v>33</v>
      </c>
      <c r="M8" t="s">
        <v>57</v>
      </c>
      <c r="N8" t="s">
        <v>58</v>
      </c>
      <c r="O8" t="s">
        <v>162</v>
      </c>
    </row>
    <row r="9" spans="1:18" x14ac:dyDescent="0.25">
      <c r="A9" t="s">
        <v>159</v>
      </c>
      <c r="B9">
        <v>0.99890000000000001</v>
      </c>
      <c r="C9">
        <v>0.5</v>
      </c>
      <c r="D9">
        <v>0.70699999999999996</v>
      </c>
      <c r="E9">
        <v>1E-3</v>
      </c>
      <c r="F9">
        <v>1.772629E-3</v>
      </c>
      <c r="G9">
        <f t="shared" si="0"/>
        <v>2.3272638000000002E-2</v>
      </c>
      <c r="H9" t="s">
        <v>12</v>
      </c>
      <c r="I9" t="s">
        <v>35</v>
      </c>
      <c r="J9">
        <v>0.76132930499999996</v>
      </c>
    </row>
    <row r="10" spans="1:18" x14ac:dyDescent="0.25">
      <c r="A10" t="s">
        <v>178</v>
      </c>
      <c r="B10">
        <v>0.9829</v>
      </c>
      <c r="C10">
        <v>0.36670000000000003</v>
      </c>
      <c r="D10">
        <v>0.6</v>
      </c>
      <c r="E10">
        <v>5.0000000000000001E-3</v>
      </c>
      <c r="F10">
        <v>1.764077E-3</v>
      </c>
      <c r="G10">
        <f t="shared" si="0"/>
        <v>2.5036715000000001E-2</v>
      </c>
      <c r="H10" t="s">
        <v>81</v>
      </c>
      <c r="I10" t="s">
        <v>15</v>
      </c>
      <c r="J10">
        <v>0.77429467100000005</v>
      </c>
      <c r="K10" t="s">
        <v>13</v>
      </c>
      <c r="L10" t="s">
        <v>15</v>
      </c>
    </row>
    <row r="11" spans="1:18" x14ac:dyDescent="0.25">
      <c r="A11" t="s">
        <v>182</v>
      </c>
      <c r="B11">
        <v>0.98750000000000004</v>
      </c>
      <c r="C11">
        <v>0.33329999999999999</v>
      </c>
      <c r="D11">
        <v>0.57399999999999995</v>
      </c>
      <c r="E11">
        <v>1.6E-2</v>
      </c>
      <c r="F11">
        <v>1.304663E-3</v>
      </c>
      <c r="G11">
        <f t="shared" si="0"/>
        <v>2.6341378000000002E-2</v>
      </c>
      <c r="H11" t="s">
        <v>81</v>
      </c>
      <c r="I11" t="s">
        <v>15</v>
      </c>
      <c r="J11">
        <v>0.75075987799999999</v>
      </c>
      <c r="K11" t="s">
        <v>13</v>
      </c>
      <c r="L11" t="s">
        <v>15</v>
      </c>
    </row>
    <row r="12" spans="1:18" x14ac:dyDescent="0.25">
      <c r="A12" t="s">
        <v>168</v>
      </c>
      <c r="B12">
        <v>0.99770000000000003</v>
      </c>
      <c r="C12">
        <v>0.43330000000000002</v>
      </c>
      <c r="D12">
        <v>0.65800000000000003</v>
      </c>
      <c r="E12">
        <v>1E-3</v>
      </c>
      <c r="F12">
        <v>1.254404E-3</v>
      </c>
      <c r="G12">
        <f t="shared" si="0"/>
        <v>2.7595782000000003E-2</v>
      </c>
      <c r="H12" t="s">
        <v>25</v>
      </c>
      <c r="I12" t="s">
        <v>169</v>
      </c>
      <c r="J12">
        <v>0.95541401299999995</v>
      </c>
      <c r="K12" t="s">
        <v>32</v>
      </c>
      <c r="L12" t="s">
        <v>33</v>
      </c>
      <c r="M12" t="s">
        <v>57</v>
      </c>
      <c r="N12" t="s">
        <v>58</v>
      </c>
      <c r="O12" t="s">
        <v>92</v>
      </c>
      <c r="P12" t="s">
        <v>170</v>
      </c>
      <c r="Q12" t="s">
        <v>171</v>
      </c>
      <c r="R12" t="s">
        <v>169</v>
      </c>
    </row>
    <row r="13" spans="1:18" x14ac:dyDescent="0.25">
      <c r="A13" t="s">
        <v>207</v>
      </c>
      <c r="B13">
        <v>0.99339999999999995</v>
      </c>
      <c r="C13">
        <v>0.3</v>
      </c>
      <c r="D13">
        <v>0.54600000000000004</v>
      </c>
      <c r="E13">
        <v>8.9999999999999993E-3</v>
      </c>
      <c r="F13">
        <v>1.027582E-3</v>
      </c>
      <c r="G13">
        <f t="shared" si="0"/>
        <v>2.8623364000000002E-2</v>
      </c>
      <c r="H13" t="s">
        <v>12</v>
      </c>
      <c r="I13" t="s">
        <v>35</v>
      </c>
      <c r="J13">
        <v>0.77742946700000004</v>
      </c>
    </row>
    <row r="14" spans="1:18" x14ac:dyDescent="0.25">
      <c r="A14" t="s">
        <v>163</v>
      </c>
      <c r="B14">
        <v>0.98599999999999999</v>
      </c>
      <c r="C14">
        <v>0.43330000000000002</v>
      </c>
      <c r="D14">
        <v>0.65400000000000003</v>
      </c>
      <c r="E14">
        <v>8.9999999999999993E-3</v>
      </c>
      <c r="F14">
        <v>9.7796899999999997E-4</v>
      </c>
      <c r="G14">
        <f t="shared" si="0"/>
        <v>2.9601333000000001E-2</v>
      </c>
      <c r="H14" t="s">
        <v>25</v>
      </c>
      <c r="I14" t="s">
        <v>164</v>
      </c>
      <c r="J14">
        <v>1</v>
      </c>
      <c r="K14" t="s">
        <v>32</v>
      </c>
      <c r="L14" t="s">
        <v>33</v>
      </c>
      <c r="M14" t="s">
        <v>57</v>
      </c>
      <c r="N14" t="s">
        <v>58</v>
      </c>
      <c r="O14" t="s">
        <v>92</v>
      </c>
      <c r="P14" t="s">
        <v>96</v>
      </c>
      <c r="Q14" t="s">
        <v>165</v>
      </c>
      <c r="R14" t="s">
        <v>164</v>
      </c>
    </row>
    <row r="15" spans="1:18" x14ac:dyDescent="0.25">
      <c r="A15" t="s">
        <v>211</v>
      </c>
      <c r="B15">
        <v>0.97550000000000003</v>
      </c>
      <c r="C15">
        <v>0.3</v>
      </c>
      <c r="D15">
        <v>0.54100000000000004</v>
      </c>
      <c r="E15">
        <v>1.2999999999999999E-2</v>
      </c>
      <c r="F15">
        <v>9.4388199999999995E-4</v>
      </c>
      <c r="G15">
        <f t="shared" si="0"/>
        <v>3.0545215000000001E-2</v>
      </c>
      <c r="H15" t="s">
        <v>81</v>
      </c>
      <c r="I15" t="s">
        <v>15</v>
      </c>
      <c r="J15">
        <v>0.75304877999999997</v>
      </c>
      <c r="K15" t="s">
        <v>13</v>
      </c>
      <c r="L15" t="s">
        <v>15</v>
      </c>
    </row>
    <row r="16" spans="1:18" x14ac:dyDescent="0.25">
      <c r="A16" t="s">
        <v>183</v>
      </c>
      <c r="B16">
        <v>0.97230000000000005</v>
      </c>
      <c r="C16">
        <v>0.33329999999999999</v>
      </c>
      <c r="D16">
        <v>0.56899999999999995</v>
      </c>
      <c r="E16">
        <v>1.4999999999999999E-2</v>
      </c>
      <c r="F16">
        <v>7.7502400000000003E-4</v>
      </c>
      <c r="G16">
        <f t="shared" si="0"/>
        <v>3.1320239E-2</v>
      </c>
      <c r="H16" t="s">
        <v>12</v>
      </c>
      <c r="I16" t="s">
        <v>35</v>
      </c>
      <c r="J16">
        <v>0.73780487800000005</v>
      </c>
    </row>
    <row r="17" spans="1:18" x14ac:dyDescent="0.25">
      <c r="A17" t="s">
        <v>204</v>
      </c>
      <c r="B17">
        <v>1</v>
      </c>
      <c r="C17">
        <v>0.3</v>
      </c>
      <c r="D17">
        <v>0.54800000000000004</v>
      </c>
      <c r="E17">
        <v>2E-3</v>
      </c>
      <c r="F17">
        <v>7.0971100000000002E-4</v>
      </c>
      <c r="G17">
        <f t="shared" si="0"/>
        <v>3.2029950000000001E-2</v>
      </c>
      <c r="H17" t="s">
        <v>25</v>
      </c>
      <c r="I17" t="s">
        <v>205</v>
      </c>
      <c r="J17">
        <v>0.99680511199999999</v>
      </c>
      <c r="K17" t="s">
        <v>32</v>
      </c>
      <c r="L17" t="s">
        <v>33</v>
      </c>
      <c r="M17" t="s">
        <v>57</v>
      </c>
      <c r="N17" t="s">
        <v>58</v>
      </c>
      <c r="O17" t="s">
        <v>92</v>
      </c>
      <c r="P17" t="s">
        <v>174</v>
      </c>
      <c r="Q17" t="s">
        <v>206</v>
      </c>
      <c r="R17" t="s">
        <v>205</v>
      </c>
    </row>
    <row r="18" spans="1:18" x14ac:dyDescent="0.25">
      <c r="A18" t="s">
        <v>253</v>
      </c>
      <c r="B18">
        <v>1</v>
      </c>
      <c r="C18">
        <v>0.2</v>
      </c>
      <c r="D18">
        <v>0.44700000000000001</v>
      </c>
      <c r="E18">
        <v>1.9E-2</v>
      </c>
      <c r="F18">
        <v>6.9253399999999997E-4</v>
      </c>
      <c r="G18">
        <f t="shared" si="0"/>
        <v>3.2722484000000003E-2</v>
      </c>
      <c r="H18" t="s">
        <v>12</v>
      </c>
      <c r="I18" t="s">
        <v>35</v>
      </c>
      <c r="J18">
        <v>0.83950617299999997</v>
      </c>
    </row>
    <row r="19" spans="1:18" x14ac:dyDescent="0.25">
      <c r="A19" t="s">
        <v>136</v>
      </c>
      <c r="B19">
        <v>0.91390000000000005</v>
      </c>
      <c r="C19">
        <v>0.66669999999999996</v>
      </c>
      <c r="D19">
        <v>0.78100000000000003</v>
      </c>
      <c r="E19">
        <v>1E-3</v>
      </c>
      <c r="F19">
        <v>6.1826100000000005E-4</v>
      </c>
      <c r="G19">
        <f t="shared" si="0"/>
        <v>3.3340745000000005E-2</v>
      </c>
      <c r="H19" t="s">
        <v>21</v>
      </c>
      <c r="I19" t="s">
        <v>22</v>
      </c>
      <c r="J19">
        <v>0.81504702200000001</v>
      </c>
      <c r="K19" t="s">
        <v>13</v>
      </c>
      <c r="L19" t="s">
        <v>15</v>
      </c>
      <c r="M19" t="s">
        <v>16</v>
      </c>
      <c r="N19" t="s">
        <v>23</v>
      </c>
      <c r="O19" t="s">
        <v>22</v>
      </c>
    </row>
    <row r="20" spans="1:18" x14ac:dyDescent="0.25">
      <c r="A20" t="s">
        <v>160</v>
      </c>
      <c r="B20">
        <v>0.98450000000000004</v>
      </c>
      <c r="C20">
        <v>0.4667</v>
      </c>
      <c r="D20">
        <v>0.67800000000000005</v>
      </c>
      <c r="E20">
        <v>1E-3</v>
      </c>
      <c r="F20">
        <v>6.1759200000000003E-4</v>
      </c>
      <c r="G20">
        <f t="shared" si="0"/>
        <v>3.3958337000000005E-2</v>
      </c>
      <c r="H20" t="s">
        <v>21</v>
      </c>
      <c r="I20" t="s">
        <v>92</v>
      </c>
      <c r="J20">
        <v>0.93949044599999998</v>
      </c>
      <c r="K20" t="s">
        <v>32</v>
      </c>
      <c r="L20" t="s">
        <v>33</v>
      </c>
      <c r="M20" t="s">
        <v>57</v>
      </c>
      <c r="N20" t="s">
        <v>58</v>
      </c>
      <c r="O20" t="s">
        <v>92</v>
      </c>
    </row>
    <row r="21" spans="1:18" x14ac:dyDescent="0.25">
      <c r="A21" t="s">
        <v>290</v>
      </c>
      <c r="B21">
        <v>0.97360000000000002</v>
      </c>
      <c r="C21">
        <v>0.4</v>
      </c>
      <c r="D21">
        <v>0.624</v>
      </c>
      <c r="E21">
        <v>2E-3</v>
      </c>
      <c r="F21">
        <v>5.9369200000000005E-4</v>
      </c>
      <c r="G21">
        <f t="shared" si="0"/>
        <v>3.4552029000000005E-2</v>
      </c>
      <c r="H21" t="s">
        <v>12</v>
      </c>
      <c r="I21" t="s">
        <v>35</v>
      </c>
      <c r="J21">
        <v>0.81308411199999997</v>
      </c>
    </row>
    <row r="22" spans="1:18" x14ac:dyDescent="0.25">
      <c r="A22" t="s">
        <v>208</v>
      </c>
      <c r="B22">
        <v>0.99160000000000004</v>
      </c>
      <c r="C22">
        <v>0.33329999999999999</v>
      </c>
      <c r="D22">
        <v>0.57499999999999996</v>
      </c>
      <c r="E22">
        <v>3.0000000000000001E-3</v>
      </c>
      <c r="F22">
        <v>5.8073599999999999E-4</v>
      </c>
      <c r="G22">
        <f t="shared" si="0"/>
        <v>3.5132765000000003E-2</v>
      </c>
      <c r="H22" t="s">
        <v>30</v>
      </c>
      <c r="I22" t="s">
        <v>209</v>
      </c>
      <c r="J22">
        <v>0.82866043599999994</v>
      </c>
      <c r="K22" t="s">
        <v>32</v>
      </c>
      <c r="L22" t="s">
        <v>33</v>
      </c>
      <c r="M22" t="s">
        <v>209</v>
      </c>
    </row>
    <row r="23" spans="1:18" x14ac:dyDescent="0.25">
      <c r="A23" t="s">
        <v>261</v>
      </c>
      <c r="B23">
        <v>1</v>
      </c>
      <c r="C23">
        <v>0.2</v>
      </c>
      <c r="D23">
        <v>0.44700000000000001</v>
      </c>
      <c r="E23">
        <v>3.4000000000000002E-2</v>
      </c>
      <c r="F23">
        <v>4.9986599999999996E-4</v>
      </c>
      <c r="G23">
        <f t="shared" si="0"/>
        <v>3.5632631000000005E-2</v>
      </c>
      <c r="H23" t="s">
        <v>30</v>
      </c>
      <c r="I23" t="s">
        <v>209</v>
      </c>
      <c r="J23">
        <v>0.82554517100000002</v>
      </c>
      <c r="K23" t="s">
        <v>32</v>
      </c>
      <c r="L23" t="s">
        <v>33</v>
      </c>
      <c r="M23" t="s">
        <v>209</v>
      </c>
    </row>
    <row r="24" spans="1:18" x14ac:dyDescent="0.25">
      <c r="A24" t="s">
        <v>184</v>
      </c>
      <c r="B24">
        <v>0.94110000000000005</v>
      </c>
      <c r="C24">
        <v>0.33329999999999999</v>
      </c>
      <c r="D24">
        <v>0.56000000000000005</v>
      </c>
      <c r="E24">
        <v>1.7000000000000001E-2</v>
      </c>
      <c r="F24">
        <v>4.7869900000000002E-4</v>
      </c>
      <c r="G24">
        <f t="shared" si="0"/>
        <v>3.6111330000000004E-2</v>
      </c>
      <c r="H24" t="s">
        <v>38</v>
      </c>
      <c r="I24" t="s">
        <v>53</v>
      </c>
      <c r="J24">
        <v>0.79374999999999996</v>
      </c>
      <c r="K24" t="s">
        <v>32</v>
      </c>
      <c r="L24" t="s">
        <v>33</v>
      </c>
      <c r="M24" t="s">
        <v>31</v>
      </c>
      <c r="N24" t="s">
        <v>53</v>
      </c>
    </row>
    <row r="25" spans="1:18" x14ac:dyDescent="0.25">
      <c r="A25" t="s">
        <v>238</v>
      </c>
      <c r="B25">
        <v>0.99039999999999995</v>
      </c>
      <c r="C25">
        <v>0.33329999999999999</v>
      </c>
      <c r="D25">
        <v>0.57499999999999996</v>
      </c>
      <c r="E25">
        <v>4.0000000000000001E-3</v>
      </c>
      <c r="F25">
        <v>4.6460799999999998E-4</v>
      </c>
      <c r="G25">
        <f t="shared" si="0"/>
        <v>3.6575938000000002E-2</v>
      </c>
      <c r="H25" t="s">
        <v>81</v>
      </c>
      <c r="I25" t="s">
        <v>15</v>
      </c>
      <c r="J25">
        <v>0.72727272700000001</v>
      </c>
      <c r="K25" t="s">
        <v>13</v>
      </c>
      <c r="L25" t="s">
        <v>15</v>
      </c>
    </row>
    <row r="26" spans="1:18" x14ac:dyDescent="0.25">
      <c r="A26" t="s">
        <v>179</v>
      </c>
      <c r="B26">
        <v>0.92279999999999995</v>
      </c>
      <c r="C26">
        <v>0.36670000000000003</v>
      </c>
      <c r="D26">
        <v>0.58199999999999996</v>
      </c>
      <c r="E26">
        <v>8.9999999999999993E-3</v>
      </c>
      <c r="F26">
        <v>3.8828000000000002E-4</v>
      </c>
      <c r="G26">
        <f t="shared" si="0"/>
        <v>3.6964218E-2</v>
      </c>
      <c r="H26" t="s">
        <v>81</v>
      </c>
      <c r="I26" t="s">
        <v>15</v>
      </c>
      <c r="J26">
        <v>0.73053892200000003</v>
      </c>
      <c r="K26" t="s">
        <v>13</v>
      </c>
      <c r="L26" t="s">
        <v>15</v>
      </c>
    </row>
    <row r="27" spans="1:18" x14ac:dyDescent="0.25">
      <c r="A27" t="s">
        <v>227</v>
      </c>
      <c r="B27">
        <v>0.94699999999999995</v>
      </c>
      <c r="C27">
        <v>0.26669999999999999</v>
      </c>
      <c r="D27">
        <v>0.503</v>
      </c>
      <c r="E27">
        <v>1.7000000000000001E-2</v>
      </c>
      <c r="F27">
        <v>3.5691800000000001E-4</v>
      </c>
      <c r="G27">
        <f t="shared" si="0"/>
        <v>3.7321135999999998E-2</v>
      </c>
      <c r="H27" t="s">
        <v>81</v>
      </c>
      <c r="I27" t="s">
        <v>15</v>
      </c>
      <c r="J27">
        <v>0.73134328400000004</v>
      </c>
      <c r="K27" t="s">
        <v>13</v>
      </c>
      <c r="L27" t="s">
        <v>15</v>
      </c>
    </row>
    <row r="28" spans="1:18" x14ac:dyDescent="0.25">
      <c r="A28" t="s">
        <v>210</v>
      </c>
      <c r="B28">
        <v>0.98860000000000003</v>
      </c>
      <c r="C28">
        <v>0.3</v>
      </c>
      <c r="D28">
        <v>0.54500000000000004</v>
      </c>
      <c r="E28">
        <v>6.0000000000000001E-3</v>
      </c>
      <c r="F28">
        <v>3.4702700000000002E-4</v>
      </c>
      <c r="G28">
        <f t="shared" si="0"/>
        <v>3.7668162999999998E-2</v>
      </c>
      <c r="H28" t="s">
        <v>12</v>
      </c>
      <c r="I28" t="s">
        <v>35</v>
      </c>
      <c r="J28">
        <v>0.72670807500000001</v>
      </c>
    </row>
    <row r="29" spans="1:18" x14ac:dyDescent="0.25">
      <c r="A29" t="s">
        <v>218</v>
      </c>
      <c r="B29">
        <v>0.86980000000000002</v>
      </c>
      <c r="C29">
        <v>0.33329999999999999</v>
      </c>
      <c r="D29">
        <v>0.53800000000000003</v>
      </c>
      <c r="E29">
        <v>3.6999999999999998E-2</v>
      </c>
      <c r="F29">
        <v>3.28272E-4</v>
      </c>
      <c r="G29">
        <f t="shared" si="0"/>
        <v>3.7996434999999995E-2</v>
      </c>
      <c r="H29" t="s">
        <v>81</v>
      </c>
      <c r="I29" t="s">
        <v>15</v>
      </c>
      <c r="J29">
        <v>0.75</v>
      </c>
      <c r="K29" t="s">
        <v>13</v>
      </c>
      <c r="L29" t="s">
        <v>15</v>
      </c>
    </row>
    <row r="30" spans="1:18" x14ac:dyDescent="0.25">
      <c r="A30" t="s">
        <v>291</v>
      </c>
      <c r="B30">
        <v>0.96940000000000004</v>
      </c>
      <c r="C30">
        <v>0.2</v>
      </c>
      <c r="D30">
        <v>0.44</v>
      </c>
      <c r="E30">
        <v>3.5000000000000003E-2</v>
      </c>
      <c r="F30">
        <v>3.2411199999999999E-4</v>
      </c>
      <c r="G30">
        <f t="shared" si="0"/>
        <v>3.8320546999999996E-2</v>
      </c>
      <c r="H30" t="s">
        <v>81</v>
      </c>
      <c r="I30" t="s">
        <v>15</v>
      </c>
      <c r="J30">
        <v>0.73475609799999997</v>
      </c>
      <c r="K30" t="s">
        <v>13</v>
      </c>
      <c r="L30" t="s">
        <v>15</v>
      </c>
    </row>
    <row r="31" spans="1:18" x14ac:dyDescent="0.25">
      <c r="A31" t="s">
        <v>221</v>
      </c>
      <c r="B31">
        <v>1</v>
      </c>
      <c r="C31">
        <v>0.33329999999999999</v>
      </c>
      <c r="D31">
        <v>0.57699999999999996</v>
      </c>
      <c r="E31">
        <v>2E-3</v>
      </c>
      <c r="F31">
        <v>3.1341000000000002E-4</v>
      </c>
      <c r="G31">
        <f t="shared" si="0"/>
        <v>3.8633956999999997E-2</v>
      </c>
      <c r="H31" t="s">
        <v>21</v>
      </c>
      <c r="I31" t="s">
        <v>92</v>
      </c>
      <c r="J31">
        <v>0.87301587300000005</v>
      </c>
      <c r="K31" t="s">
        <v>32</v>
      </c>
      <c r="L31" t="s">
        <v>33</v>
      </c>
      <c r="M31" t="s">
        <v>57</v>
      </c>
      <c r="N31" t="s">
        <v>58</v>
      </c>
      <c r="O31" t="s">
        <v>92</v>
      </c>
    </row>
    <row r="32" spans="1:18" x14ac:dyDescent="0.25">
      <c r="A32" t="s">
        <v>166</v>
      </c>
      <c r="B32">
        <v>0.96909999999999996</v>
      </c>
      <c r="C32">
        <v>0.43330000000000002</v>
      </c>
      <c r="D32">
        <v>0.64800000000000002</v>
      </c>
      <c r="E32">
        <v>3.0000000000000001E-3</v>
      </c>
      <c r="F32">
        <v>3.0909500000000001E-4</v>
      </c>
      <c r="G32">
        <f t="shared" si="0"/>
        <v>3.8943051999999999E-2</v>
      </c>
      <c r="H32" t="s">
        <v>81</v>
      </c>
      <c r="I32" t="s">
        <v>33</v>
      </c>
      <c r="J32">
        <v>0.79245283</v>
      </c>
      <c r="K32" t="s">
        <v>32</v>
      </c>
      <c r="L32" t="s">
        <v>33</v>
      </c>
    </row>
    <row r="33" spans="1:17" x14ac:dyDescent="0.25">
      <c r="A33" t="s">
        <v>239</v>
      </c>
      <c r="B33">
        <v>0.97819999999999996</v>
      </c>
      <c r="C33">
        <v>0.23330000000000001</v>
      </c>
      <c r="D33">
        <v>0.47799999999999998</v>
      </c>
      <c r="E33">
        <v>3.9E-2</v>
      </c>
      <c r="F33">
        <v>3.07893E-4</v>
      </c>
      <c r="G33">
        <f t="shared" si="0"/>
        <v>3.9250944999999995E-2</v>
      </c>
      <c r="H33" t="s">
        <v>81</v>
      </c>
      <c r="I33" t="s">
        <v>15</v>
      </c>
      <c r="J33">
        <v>0.73926380400000002</v>
      </c>
      <c r="K33" t="s">
        <v>13</v>
      </c>
      <c r="L33" t="s">
        <v>15</v>
      </c>
    </row>
    <row r="34" spans="1:17" x14ac:dyDescent="0.25">
      <c r="A34" t="s">
        <v>258</v>
      </c>
      <c r="B34">
        <v>1</v>
      </c>
      <c r="C34">
        <v>0.2</v>
      </c>
      <c r="D34">
        <v>0.44700000000000001</v>
      </c>
      <c r="E34">
        <v>2.8000000000000001E-2</v>
      </c>
      <c r="F34">
        <v>2.77333E-4</v>
      </c>
      <c r="G34">
        <f t="shared" si="0"/>
        <v>3.9528277999999993E-2</v>
      </c>
      <c r="H34" t="s">
        <v>81</v>
      </c>
      <c r="I34" t="s">
        <v>15</v>
      </c>
      <c r="J34">
        <v>0.72590361400000003</v>
      </c>
      <c r="K34" t="s">
        <v>13</v>
      </c>
      <c r="L34" t="s">
        <v>15</v>
      </c>
    </row>
    <row r="35" spans="1:17" x14ac:dyDescent="0.25">
      <c r="A35" t="s">
        <v>177</v>
      </c>
      <c r="B35">
        <v>0.96989999999999998</v>
      </c>
      <c r="C35">
        <v>0.4</v>
      </c>
      <c r="D35">
        <v>0.623</v>
      </c>
      <c r="E35">
        <v>3.0000000000000001E-3</v>
      </c>
      <c r="F35">
        <v>2.4499800000000001E-4</v>
      </c>
      <c r="G35">
        <f t="shared" si="0"/>
        <v>3.9773275999999996E-2</v>
      </c>
      <c r="H35" t="s">
        <v>81</v>
      </c>
      <c r="I35" t="s">
        <v>15</v>
      </c>
      <c r="J35">
        <v>0.72205438099999997</v>
      </c>
      <c r="K35" t="s">
        <v>13</v>
      </c>
      <c r="L35" t="s">
        <v>15</v>
      </c>
    </row>
    <row r="36" spans="1:17" x14ac:dyDescent="0.25">
      <c r="A36" t="s">
        <v>292</v>
      </c>
      <c r="B36">
        <v>1</v>
      </c>
      <c r="C36">
        <v>0.3</v>
      </c>
      <c r="D36">
        <v>0.54800000000000004</v>
      </c>
      <c r="E36">
        <v>3.0000000000000001E-3</v>
      </c>
      <c r="F36">
        <v>2.41828E-4</v>
      </c>
      <c r="G36">
        <f t="shared" si="0"/>
        <v>4.0015103999999996E-2</v>
      </c>
      <c r="H36" t="s">
        <v>81</v>
      </c>
      <c r="I36" t="s">
        <v>15</v>
      </c>
      <c r="J36">
        <v>0.72672672699999996</v>
      </c>
      <c r="K36" t="s">
        <v>13</v>
      </c>
      <c r="L36" t="s">
        <v>15</v>
      </c>
    </row>
    <row r="37" spans="1:17" x14ac:dyDescent="0.25">
      <c r="A37" t="s">
        <v>251</v>
      </c>
      <c r="B37">
        <v>1</v>
      </c>
      <c r="C37">
        <v>0.2</v>
      </c>
      <c r="D37">
        <v>0.44700000000000001</v>
      </c>
      <c r="E37">
        <v>2.8000000000000001E-2</v>
      </c>
      <c r="F37">
        <v>2.3449000000000001E-4</v>
      </c>
      <c r="G37">
        <f t="shared" si="0"/>
        <v>4.0249593999999993E-2</v>
      </c>
      <c r="H37" t="s">
        <v>12</v>
      </c>
      <c r="I37" t="s">
        <v>35</v>
      </c>
      <c r="J37">
        <v>0.82662538699999999</v>
      </c>
    </row>
    <row r="38" spans="1:17" x14ac:dyDescent="0.25">
      <c r="A38" t="s">
        <v>259</v>
      </c>
      <c r="B38">
        <v>1</v>
      </c>
      <c r="C38">
        <v>0.2</v>
      </c>
      <c r="D38">
        <v>0.44700000000000001</v>
      </c>
      <c r="E38">
        <v>2.3E-2</v>
      </c>
      <c r="F38">
        <v>2.3266500000000001E-4</v>
      </c>
      <c r="G38">
        <f t="shared" si="0"/>
        <v>4.0482258999999993E-2</v>
      </c>
      <c r="H38" t="s">
        <v>81</v>
      </c>
      <c r="I38" t="s">
        <v>15</v>
      </c>
      <c r="J38">
        <v>0.73780487800000005</v>
      </c>
      <c r="K38" t="s">
        <v>13</v>
      </c>
      <c r="L38" t="s">
        <v>15</v>
      </c>
    </row>
    <row r="39" spans="1:17" x14ac:dyDescent="0.25">
      <c r="A39" t="s">
        <v>293</v>
      </c>
      <c r="B39">
        <v>0.82320000000000004</v>
      </c>
      <c r="C39">
        <v>0.3</v>
      </c>
      <c r="D39">
        <v>0.497</v>
      </c>
      <c r="E39">
        <v>3.5000000000000003E-2</v>
      </c>
      <c r="F39">
        <v>2.2787099999999999E-4</v>
      </c>
      <c r="G39">
        <f t="shared" si="0"/>
        <v>4.071012999999999E-2</v>
      </c>
      <c r="H39" t="s">
        <v>81</v>
      </c>
      <c r="I39" t="s">
        <v>15</v>
      </c>
      <c r="J39">
        <v>0.72372372399999996</v>
      </c>
      <c r="K39" t="s">
        <v>13</v>
      </c>
      <c r="L39" t="s">
        <v>15</v>
      </c>
    </row>
    <row r="40" spans="1:17" x14ac:dyDescent="0.25">
      <c r="A40" t="s">
        <v>236</v>
      </c>
      <c r="B40">
        <v>1</v>
      </c>
      <c r="C40">
        <v>0.23330000000000001</v>
      </c>
      <c r="D40">
        <v>0.48299999999999998</v>
      </c>
      <c r="E40">
        <v>1.4E-2</v>
      </c>
      <c r="F40">
        <v>2.13957E-4</v>
      </c>
      <c r="G40">
        <f t="shared" si="0"/>
        <v>4.0924086999999991E-2</v>
      </c>
      <c r="H40" t="s">
        <v>81</v>
      </c>
      <c r="I40" t="s">
        <v>15</v>
      </c>
      <c r="J40">
        <v>0.72424242400000005</v>
      </c>
      <c r="K40" t="s">
        <v>13</v>
      </c>
      <c r="L40" t="s">
        <v>15</v>
      </c>
    </row>
    <row r="41" spans="1:17" x14ac:dyDescent="0.25">
      <c r="A41" t="s">
        <v>181</v>
      </c>
      <c r="B41">
        <v>1</v>
      </c>
      <c r="C41">
        <v>0.36670000000000003</v>
      </c>
      <c r="D41">
        <v>0.60599999999999998</v>
      </c>
      <c r="E41">
        <v>4.0000000000000001E-3</v>
      </c>
      <c r="F41">
        <v>2.0222999999999999E-4</v>
      </c>
      <c r="G41">
        <f t="shared" si="0"/>
        <v>4.1126316999999989E-2</v>
      </c>
      <c r="H41" t="s">
        <v>21</v>
      </c>
      <c r="I41" t="s">
        <v>92</v>
      </c>
      <c r="J41">
        <v>0.99681528699999999</v>
      </c>
      <c r="K41" t="s">
        <v>32</v>
      </c>
      <c r="L41" t="s">
        <v>33</v>
      </c>
      <c r="M41" t="s">
        <v>57</v>
      </c>
      <c r="N41" t="s">
        <v>58</v>
      </c>
      <c r="O41" t="s">
        <v>92</v>
      </c>
    </row>
    <row r="42" spans="1:17" x14ac:dyDescent="0.25">
      <c r="A42" t="s">
        <v>246</v>
      </c>
      <c r="B42">
        <v>0.93479999999999996</v>
      </c>
      <c r="C42">
        <v>0.23330000000000001</v>
      </c>
      <c r="D42">
        <v>0.46700000000000003</v>
      </c>
      <c r="E42">
        <v>3.2000000000000001E-2</v>
      </c>
      <c r="F42">
        <v>1.88746E-4</v>
      </c>
      <c r="G42">
        <f t="shared" si="0"/>
        <v>4.1315062999999985E-2</v>
      </c>
      <c r="H42" t="s">
        <v>12</v>
      </c>
      <c r="I42" t="s">
        <v>35</v>
      </c>
      <c r="J42">
        <v>0.80804953599999996</v>
      </c>
    </row>
    <row r="43" spans="1:17" x14ac:dyDescent="0.25">
      <c r="A43" t="s">
        <v>260</v>
      </c>
      <c r="B43">
        <v>1</v>
      </c>
      <c r="C43">
        <v>0.2</v>
      </c>
      <c r="D43">
        <v>0.44700000000000001</v>
      </c>
      <c r="E43">
        <v>2.1999999999999999E-2</v>
      </c>
      <c r="F43">
        <v>1.8673E-4</v>
      </c>
      <c r="G43">
        <f t="shared" si="0"/>
        <v>4.1501792999999988E-2</v>
      </c>
      <c r="H43" t="s">
        <v>21</v>
      </c>
      <c r="I43" t="s">
        <v>54</v>
      </c>
      <c r="J43">
        <v>0.84423676000000003</v>
      </c>
      <c r="K43" t="s">
        <v>32</v>
      </c>
      <c r="L43" t="s">
        <v>33</v>
      </c>
      <c r="M43" t="s">
        <v>31</v>
      </c>
      <c r="N43" t="s">
        <v>53</v>
      </c>
      <c r="O43" t="s">
        <v>54</v>
      </c>
    </row>
    <row r="44" spans="1:17" x14ac:dyDescent="0.25">
      <c r="A44" t="s">
        <v>203</v>
      </c>
      <c r="B44">
        <v>0.97919999999999996</v>
      </c>
      <c r="C44">
        <v>0.3</v>
      </c>
      <c r="D44">
        <v>0.54200000000000004</v>
      </c>
      <c r="E44">
        <v>5.0000000000000001E-3</v>
      </c>
      <c r="F44">
        <v>1.83726E-4</v>
      </c>
      <c r="G44">
        <f t="shared" si="0"/>
        <v>4.168551899999999E-2</v>
      </c>
      <c r="H44" t="s">
        <v>38</v>
      </c>
      <c r="I44" t="s">
        <v>58</v>
      </c>
      <c r="J44">
        <v>0.84810126600000002</v>
      </c>
      <c r="K44" t="s">
        <v>32</v>
      </c>
      <c r="L44" t="s">
        <v>33</v>
      </c>
      <c r="M44" t="s">
        <v>57</v>
      </c>
      <c r="N44" t="s">
        <v>58</v>
      </c>
    </row>
    <row r="45" spans="1:17" x14ac:dyDescent="0.25">
      <c r="A45" t="s">
        <v>94</v>
      </c>
      <c r="B45">
        <v>1</v>
      </c>
      <c r="C45">
        <v>0.33329999999999999</v>
      </c>
      <c r="D45">
        <v>0.57699999999999996</v>
      </c>
      <c r="E45">
        <v>1E-3</v>
      </c>
      <c r="F45">
        <v>1.7754399999999999E-4</v>
      </c>
      <c r="G45">
        <f t="shared" si="0"/>
        <v>4.1863062999999992E-2</v>
      </c>
      <c r="H45" t="s">
        <v>59</v>
      </c>
      <c r="I45" t="s">
        <v>95</v>
      </c>
      <c r="J45">
        <v>0.89873417700000002</v>
      </c>
      <c r="K45" t="s">
        <v>32</v>
      </c>
      <c r="L45" t="s">
        <v>33</v>
      </c>
      <c r="M45" t="s">
        <v>57</v>
      </c>
      <c r="N45" t="s">
        <v>58</v>
      </c>
      <c r="O45" t="s">
        <v>92</v>
      </c>
      <c r="P45" t="s">
        <v>96</v>
      </c>
      <c r="Q45" t="s">
        <v>95</v>
      </c>
    </row>
    <row r="46" spans="1:17" x14ac:dyDescent="0.25">
      <c r="A46" t="s">
        <v>212</v>
      </c>
      <c r="B46">
        <v>0.97719999999999996</v>
      </c>
      <c r="C46">
        <v>0.3</v>
      </c>
      <c r="D46">
        <v>0.54100000000000004</v>
      </c>
      <c r="E46">
        <v>7.0000000000000001E-3</v>
      </c>
      <c r="F46">
        <v>1.7698799999999999E-4</v>
      </c>
      <c r="G46">
        <f t="shared" si="0"/>
        <v>4.2040050999999995E-2</v>
      </c>
      <c r="H46" t="s">
        <v>81</v>
      </c>
      <c r="I46" t="s">
        <v>15</v>
      </c>
      <c r="J46">
        <v>0.73088684999999998</v>
      </c>
      <c r="K46" t="s">
        <v>13</v>
      </c>
      <c r="L46" t="s">
        <v>15</v>
      </c>
    </row>
    <row r="47" spans="1:17" x14ac:dyDescent="0.25">
      <c r="A47" t="s">
        <v>256</v>
      </c>
      <c r="B47">
        <v>1</v>
      </c>
      <c r="C47">
        <v>0.2</v>
      </c>
      <c r="D47">
        <v>0.44700000000000001</v>
      </c>
      <c r="E47">
        <v>0.02</v>
      </c>
      <c r="F47">
        <v>1.72046E-4</v>
      </c>
      <c r="G47">
        <f t="shared" si="0"/>
        <v>4.2212096999999997E-2</v>
      </c>
      <c r="H47" t="s">
        <v>81</v>
      </c>
      <c r="I47" t="s">
        <v>15</v>
      </c>
      <c r="J47">
        <v>0.74698795200000001</v>
      </c>
      <c r="K47" t="s">
        <v>13</v>
      </c>
      <c r="L47" t="s">
        <v>15</v>
      </c>
    </row>
    <row r="48" spans="1:17" x14ac:dyDescent="0.25">
      <c r="A48" t="s">
        <v>225</v>
      </c>
      <c r="B48">
        <v>1</v>
      </c>
      <c r="C48">
        <v>0.3</v>
      </c>
      <c r="D48">
        <v>0.54800000000000004</v>
      </c>
      <c r="E48">
        <v>5.0000000000000001E-3</v>
      </c>
      <c r="F48">
        <v>1.5824E-4</v>
      </c>
      <c r="G48">
        <f t="shared" si="0"/>
        <v>4.2370336999999994E-2</v>
      </c>
      <c r="H48" t="s">
        <v>81</v>
      </c>
      <c r="I48" t="s">
        <v>15</v>
      </c>
      <c r="J48">
        <v>0.72809667700000003</v>
      </c>
      <c r="K48" t="s">
        <v>13</v>
      </c>
      <c r="L48" t="s">
        <v>15</v>
      </c>
    </row>
    <row r="49" spans="1:18" x14ac:dyDescent="0.25">
      <c r="A49" t="s">
        <v>186</v>
      </c>
      <c r="B49">
        <v>0.86609999999999998</v>
      </c>
      <c r="C49">
        <v>0.4</v>
      </c>
      <c r="D49">
        <v>0.58899999999999997</v>
      </c>
      <c r="E49">
        <v>7.0000000000000001E-3</v>
      </c>
      <c r="F49">
        <v>1.54007E-4</v>
      </c>
      <c r="G49">
        <f t="shared" si="0"/>
        <v>4.2524343999999992E-2</v>
      </c>
      <c r="H49" t="s">
        <v>25</v>
      </c>
      <c r="I49" t="s">
        <v>142</v>
      </c>
      <c r="J49">
        <v>0.88291139200000002</v>
      </c>
      <c r="K49" t="s">
        <v>40</v>
      </c>
      <c r="L49" t="s">
        <v>41</v>
      </c>
      <c r="M49" t="s">
        <v>41</v>
      </c>
      <c r="N49" t="s">
        <v>100</v>
      </c>
      <c r="O49" t="s">
        <v>143</v>
      </c>
      <c r="P49" t="s">
        <v>144</v>
      </c>
      <c r="Q49" t="s">
        <v>145</v>
      </c>
      <c r="R49" t="s">
        <v>142</v>
      </c>
    </row>
    <row r="50" spans="1:18" x14ac:dyDescent="0.25">
      <c r="A50" t="s">
        <v>176</v>
      </c>
      <c r="B50">
        <v>0.97399999999999998</v>
      </c>
      <c r="C50">
        <v>0.43330000000000002</v>
      </c>
      <c r="D50">
        <v>0.65</v>
      </c>
      <c r="E50">
        <v>1E-3</v>
      </c>
      <c r="F50">
        <v>1.4904999999999999E-4</v>
      </c>
      <c r="G50">
        <f t="shared" si="0"/>
        <v>4.267339399999999E-2</v>
      </c>
      <c r="H50" t="s">
        <v>12</v>
      </c>
      <c r="I50" t="s">
        <v>35</v>
      </c>
      <c r="J50">
        <v>0.84542586799999997</v>
      </c>
    </row>
    <row r="51" spans="1:18" x14ac:dyDescent="0.25">
      <c r="A51" t="s">
        <v>187</v>
      </c>
      <c r="B51">
        <v>0.95540000000000003</v>
      </c>
      <c r="C51">
        <v>0.33329999999999999</v>
      </c>
      <c r="D51">
        <v>0.56399999999999995</v>
      </c>
      <c r="E51">
        <v>8.0000000000000002E-3</v>
      </c>
      <c r="F51">
        <v>1.4765899999999999E-4</v>
      </c>
      <c r="G51">
        <f t="shared" si="0"/>
        <v>4.2821052999999991E-2</v>
      </c>
      <c r="H51" t="s">
        <v>81</v>
      </c>
      <c r="I51" t="s">
        <v>15</v>
      </c>
      <c r="J51">
        <v>0.740853659</v>
      </c>
      <c r="K51" t="s">
        <v>13</v>
      </c>
      <c r="L51" t="s">
        <v>15</v>
      </c>
    </row>
    <row r="52" spans="1:18" x14ac:dyDescent="0.25">
      <c r="A52" t="s">
        <v>267</v>
      </c>
      <c r="B52">
        <v>0.98499999999999999</v>
      </c>
      <c r="C52">
        <v>0.2</v>
      </c>
      <c r="D52">
        <v>0.44400000000000001</v>
      </c>
      <c r="E52">
        <v>2.8000000000000001E-2</v>
      </c>
      <c r="F52">
        <v>1.45871E-4</v>
      </c>
      <c r="G52">
        <f t="shared" si="0"/>
        <v>4.296692399999999E-2</v>
      </c>
      <c r="H52" t="s">
        <v>59</v>
      </c>
      <c r="I52" t="s">
        <v>165</v>
      </c>
      <c r="J52">
        <v>0.91719745200000002</v>
      </c>
      <c r="K52" t="s">
        <v>32</v>
      </c>
      <c r="L52" t="s">
        <v>33</v>
      </c>
      <c r="M52" t="s">
        <v>57</v>
      </c>
      <c r="N52" t="s">
        <v>58</v>
      </c>
      <c r="O52" t="s">
        <v>92</v>
      </c>
      <c r="P52" t="s">
        <v>96</v>
      </c>
      <c r="Q52" t="s">
        <v>165</v>
      </c>
    </row>
    <row r="53" spans="1:18" x14ac:dyDescent="0.25">
      <c r="A53" t="s">
        <v>294</v>
      </c>
      <c r="B53">
        <v>0.9294</v>
      </c>
      <c r="C53">
        <v>0.26669999999999999</v>
      </c>
      <c r="D53">
        <v>0.498</v>
      </c>
      <c r="E53">
        <v>3.3000000000000002E-2</v>
      </c>
      <c r="F53">
        <v>1.45506E-4</v>
      </c>
      <c r="G53">
        <f t="shared" si="0"/>
        <v>4.3112429999999986E-2</v>
      </c>
      <c r="H53" t="s">
        <v>81</v>
      </c>
      <c r="I53" t="s">
        <v>15</v>
      </c>
      <c r="J53">
        <v>0.75229357799999996</v>
      </c>
      <c r="K53" t="s">
        <v>13</v>
      </c>
      <c r="L53" t="s">
        <v>15</v>
      </c>
    </row>
    <row r="54" spans="1:18" x14ac:dyDescent="0.25">
      <c r="A54" t="s">
        <v>295</v>
      </c>
      <c r="B54">
        <v>0.98250000000000004</v>
      </c>
      <c r="C54">
        <v>0.16669999999999999</v>
      </c>
      <c r="D54">
        <v>0.40500000000000003</v>
      </c>
      <c r="E54">
        <v>4.4999999999999998E-2</v>
      </c>
      <c r="F54">
        <v>1.4290599999999999E-4</v>
      </c>
      <c r="G54">
        <f t="shared" si="0"/>
        <v>4.3255335999999985E-2</v>
      </c>
      <c r="H54" t="s">
        <v>81</v>
      </c>
      <c r="I54" t="s">
        <v>15</v>
      </c>
      <c r="J54">
        <v>0.72948328299999998</v>
      </c>
      <c r="K54" t="s">
        <v>13</v>
      </c>
      <c r="L54" t="s">
        <v>15</v>
      </c>
    </row>
    <row r="55" spans="1:18" x14ac:dyDescent="0.25">
      <c r="A55" t="s">
        <v>172</v>
      </c>
      <c r="B55">
        <v>1</v>
      </c>
      <c r="C55">
        <v>0.4</v>
      </c>
      <c r="D55">
        <v>0.63200000000000001</v>
      </c>
      <c r="E55">
        <v>2E-3</v>
      </c>
      <c r="F55">
        <v>1.4263200000000001E-4</v>
      </c>
      <c r="G55">
        <f t="shared" si="0"/>
        <v>4.3397967999999981E-2</v>
      </c>
      <c r="H55" t="s">
        <v>25</v>
      </c>
      <c r="I55" t="s">
        <v>173</v>
      </c>
      <c r="J55">
        <v>0.971246006</v>
      </c>
      <c r="K55" t="s">
        <v>32</v>
      </c>
      <c r="L55" t="s">
        <v>33</v>
      </c>
      <c r="M55" t="s">
        <v>57</v>
      </c>
      <c r="N55" t="s">
        <v>58</v>
      </c>
      <c r="O55" t="s">
        <v>92</v>
      </c>
      <c r="P55" t="s">
        <v>174</v>
      </c>
      <c r="Q55" t="s">
        <v>175</v>
      </c>
      <c r="R55" t="s">
        <v>173</v>
      </c>
    </row>
    <row r="56" spans="1:18" x14ac:dyDescent="0.25">
      <c r="A56" t="s">
        <v>241</v>
      </c>
      <c r="B56">
        <v>0.96789999999999998</v>
      </c>
      <c r="C56">
        <v>0.23330000000000001</v>
      </c>
      <c r="D56">
        <v>0.47499999999999998</v>
      </c>
      <c r="E56">
        <v>2.1999999999999999E-2</v>
      </c>
      <c r="F56">
        <v>1.4058500000000001E-4</v>
      </c>
      <c r="G56">
        <f t="shared" si="0"/>
        <v>4.353855299999998E-2</v>
      </c>
      <c r="H56" t="s">
        <v>21</v>
      </c>
      <c r="I56" t="s">
        <v>47</v>
      </c>
      <c r="J56">
        <v>0.86520376200000004</v>
      </c>
      <c r="K56" t="s">
        <v>13</v>
      </c>
      <c r="L56" t="s">
        <v>15</v>
      </c>
      <c r="M56" t="s">
        <v>44</v>
      </c>
      <c r="N56" t="s">
        <v>48</v>
      </c>
      <c r="O56" t="s">
        <v>47</v>
      </c>
    </row>
    <row r="57" spans="1:18" x14ac:dyDescent="0.25">
      <c r="A57" t="s">
        <v>220</v>
      </c>
      <c r="B57">
        <v>0.98660000000000003</v>
      </c>
      <c r="C57">
        <v>0.26669999999999999</v>
      </c>
      <c r="D57">
        <v>0.51300000000000001</v>
      </c>
      <c r="E57">
        <v>1.0999999999999999E-2</v>
      </c>
      <c r="F57">
        <v>1.38009E-4</v>
      </c>
      <c r="G57">
        <f t="shared" si="0"/>
        <v>4.3676561999999981E-2</v>
      </c>
      <c r="H57" t="s">
        <v>59</v>
      </c>
      <c r="I57" t="s">
        <v>66</v>
      </c>
      <c r="J57">
        <v>0.89408099699999999</v>
      </c>
      <c r="K57" t="s">
        <v>13</v>
      </c>
      <c r="L57" t="s">
        <v>15</v>
      </c>
      <c r="M57" t="s">
        <v>44</v>
      </c>
      <c r="N57" t="s">
        <v>48</v>
      </c>
      <c r="O57" t="s">
        <v>47</v>
      </c>
      <c r="P57" t="s">
        <v>65</v>
      </c>
      <c r="Q57" t="s">
        <v>66</v>
      </c>
    </row>
    <row r="58" spans="1:18" x14ac:dyDescent="0.25">
      <c r="A58" t="s">
        <v>232</v>
      </c>
      <c r="B58">
        <v>0.9869</v>
      </c>
      <c r="C58">
        <v>0.23330000000000001</v>
      </c>
      <c r="D58">
        <v>0.48</v>
      </c>
      <c r="E58">
        <v>8.9999999999999993E-3</v>
      </c>
      <c r="F58">
        <v>1.3773299999999999E-4</v>
      </c>
      <c r="G58">
        <f t="shared" si="0"/>
        <v>4.3814294999999982E-2</v>
      </c>
      <c r="H58" t="s">
        <v>12</v>
      </c>
      <c r="I58" t="s">
        <v>35</v>
      </c>
      <c r="J58">
        <v>0.80923076900000002</v>
      </c>
    </row>
    <row r="59" spans="1:18" x14ac:dyDescent="0.25">
      <c r="A59" t="s">
        <v>296</v>
      </c>
      <c r="B59">
        <v>0.9355</v>
      </c>
      <c r="C59">
        <v>0.23330000000000001</v>
      </c>
      <c r="D59">
        <v>0.46700000000000003</v>
      </c>
      <c r="E59">
        <v>4.7E-2</v>
      </c>
      <c r="F59">
        <v>1.3674499999999999E-4</v>
      </c>
      <c r="G59">
        <f t="shared" si="0"/>
        <v>4.3951039999999983E-2</v>
      </c>
      <c r="H59" t="s">
        <v>12</v>
      </c>
      <c r="I59" t="s">
        <v>35</v>
      </c>
      <c r="J59">
        <v>0.78287461800000002</v>
      </c>
    </row>
    <row r="60" spans="1:18" x14ac:dyDescent="0.25">
      <c r="A60" t="s">
        <v>213</v>
      </c>
      <c r="B60">
        <v>1</v>
      </c>
      <c r="C60">
        <v>0.33329999999999999</v>
      </c>
      <c r="D60">
        <v>0.57699999999999996</v>
      </c>
      <c r="E60">
        <v>1E-3</v>
      </c>
      <c r="F60">
        <v>1.3201E-4</v>
      </c>
      <c r="G60">
        <f t="shared" si="0"/>
        <v>4.4083049999999985E-2</v>
      </c>
      <c r="H60" t="s">
        <v>25</v>
      </c>
      <c r="I60" t="s">
        <v>214</v>
      </c>
      <c r="J60">
        <v>0.82334384900000002</v>
      </c>
      <c r="K60" t="s">
        <v>190</v>
      </c>
      <c r="L60" t="s">
        <v>191</v>
      </c>
      <c r="M60" t="s">
        <v>192</v>
      </c>
      <c r="N60" t="s">
        <v>193</v>
      </c>
      <c r="O60" t="s">
        <v>194</v>
      </c>
      <c r="P60" t="s">
        <v>215</v>
      </c>
      <c r="Q60" t="s">
        <v>216</v>
      </c>
      <c r="R60" t="s">
        <v>214</v>
      </c>
    </row>
    <row r="61" spans="1:18" x14ac:dyDescent="0.25">
      <c r="A61" t="s">
        <v>266</v>
      </c>
      <c r="B61">
        <v>1</v>
      </c>
      <c r="C61">
        <v>0.2</v>
      </c>
      <c r="D61">
        <v>0.44700000000000001</v>
      </c>
      <c r="E61">
        <v>2.4E-2</v>
      </c>
      <c r="F61">
        <v>1.3131500000000001E-4</v>
      </c>
      <c r="G61">
        <f t="shared" si="0"/>
        <v>4.4214364999999985E-2</v>
      </c>
      <c r="H61" t="s">
        <v>21</v>
      </c>
      <c r="I61" t="s">
        <v>140</v>
      </c>
      <c r="J61">
        <v>0.80250783699999995</v>
      </c>
      <c r="K61" t="s">
        <v>13</v>
      </c>
      <c r="L61" t="s">
        <v>15</v>
      </c>
      <c r="M61" t="s">
        <v>26</v>
      </c>
      <c r="N61" t="s">
        <v>27</v>
      </c>
      <c r="O61" t="s">
        <v>140</v>
      </c>
    </row>
    <row r="62" spans="1:18" x14ac:dyDescent="0.25">
      <c r="A62" t="s">
        <v>249</v>
      </c>
      <c r="B62">
        <v>1</v>
      </c>
      <c r="C62">
        <v>0.23330000000000001</v>
      </c>
      <c r="D62">
        <v>0.48299999999999998</v>
      </c>
      <c r="E62">
        <v>1.2999999999999999E-2</v>
      </c>
      <c r="F62">
        <v>1.27272E-4</v>
      </c>
      <c r="G62">
        <f t="shared" si="0"/>
        <v>4.4341636999999982E-2</v>
      </c>
      <c r="H62" t="s">
        <v>21</v>
      </c>
      <c r="I62" t="s">
        <v>92</v>
      </c>
      <c r="J62">
        <v>0.91167192399999997</v>
      </c>
      <c r="K62" t="s">
        <v>32</v>
      </c>
      <c r="L62" t="s">
        <v>33</v>
      </c>
      <c r="M62" t="s">
        <v>57</v>
      </c>
      <c r="N62" t="s">
        <v>58</v>
      </c>
      <c r="O62" t="s">
        <v>92</v>
      </c>
    </row>
    <row r="63" spans="1:18" x14ac:dyDescent="0.25">
      <c r="A63" t="s">
        <v>138</v>
      </c>
      <c r="B63">
        <v>0.75039999999999996</v>
      </c>
      <c r="C63">
        <v>0.5333</v>
      </c>
      <c r="D63">
        <v>0.63300000000000001</v>
      </c>
      <c r="E63">
        <v>1.2E-2</v>
      </c>
      <c r="F63">
        <v>1.25368E-4</v>
      </c>
      <c r="G63">
        <f t="shared" si="0"/>
        <v>4.4467004999999983E-2</v>
      </c>
      <c r="H63" t="s">
        <v>59</v>
      </c>
      <c r="I63" t="s">
        <v>139</v>
      </c>
      <c r="J63">
        <v>0.76543209899999998</v>
      </c>
      <c r="K63" t="s">
        <v>13</v>
      </c>
      <c r="L63" t="s">
        <v>15</v>
      </c>
      <c r="M63" t="s">
        <v>26</v>
      </c>
      <c r="N63" t="s">
        <v>27</v>
      </c>
      <c r="O63" t="s">
        <v>140</v>
      </c>
      <c r="P63" t="s">
        <v>141</v>
      </c>
      <c r="Q63" t="s">
        <v>139</v>
      </c>
    </row>
    <row r="64" spans="1:18" x14ac:dyDescent="0.25">
      <c r="A64" t="s">
        <v>228</v>
      </c>
      <c r="B64">
        <v>0.96560000000000001</v>
      </c>
      <c r="C64">
        <v>0.26669999999999999</v>
      </c>
      <c r="D64">
        <v>0.50700000000000001</v>
      </c>
      <c r="E64">
        <v>8.0000000000000002E-3</v>
      </c>
      <c r="F64">
        <v>1.2187E-4</v>
      </c>
      <c r="G64">
        <f t="shared" si="0"/>
        <v>4.4588874999999986E-2</v>
      </c>
      <c r="H64" t="s">
        <v>19</v>
      </c>
      <c r="I64" t="s">
        <v>57</v>
      </c>
      <c r="J64">
        <v>0.79012345699999997</v>
      </c>
    </row>
    <row r="65" spans="1:18" x14ac:dyDescent="0.25">
      <c r="A65" t="s">
        <v>242</v>
      </c>
      <c r="B65">
        <v>0.94089999999999996</v>
      </c>
      <c r="C65">
        <v>0.26669999999999999</v>
      </c>
      <c r="D65">
        <v>0.501</v>
      </c>
      <c r="E65">
        <v>1.7999999999999999E-2</v>
      </c>
      <c r="F65">
        <v>1.21373E-4</v>
      </c>
      <c r="G65">
        <f t="shared" si="0"/>
        <v>4.4710247999999987E-2</v>
      </c>
      <c r="H65" t="s">
        <v>12</v>
      </c>
      <c r="I65" t="s">
        <v>35</v>
      </c>
      <c r="J65">
        <v>0.77708978299999998</v>
      </c>
    </row>
    <row r="66" spans="1:18" x14ac:dyDescent="0.25">
      <c r="A66" t="s">
        <v>217</v>
      </c>
      <c r="B66">
        <v>0.97489999999999999</v>
      </c>
      <c r="C66">
        <v>0.33329999999999999</v>
      </c>
      <c r="D66">
        <v>0.56999999999999995</v>
      </c>
      <c r="E66">
        <v>3.0000000000000001E-3</v>
      </c>
      <c r="F66">
        <v>1.21241E-4</v>
      </c>
      <c r="G66">
        <f t="shared" si="0"/>
        <v>4.4831488999999988E-2</v>
      </c>
      <c r="H66" t="s">
        <v>12</v>
      </c>
      <c r="I66" t="s">
        <v>35</v>
      </c>
      <c r="J66">
        <v>0.83281733700000005</v>
      </c>
    </row>
    <row r="67" spans="1:18" x14ac:dyDescent="0.25">
      <c r="A67" t="s">
        <v>297</v>
      </c>
      <c r="B67">
        <v>0.83099999999999996</v>
      </c>
      <c r="C67">
        <v>0.3</v>
      </c>
      <c r="D67">
        <v>0.499</v>
      </c>
      <c r="E67">
        <v>3.5000000000000003E-2</v>
      </c>
      <c r="F67">
        <v>1.1837600000000001E-4</v>
      </c>
      <c r="G67">
        <f t="shared" si="0"/>
        <v>4.4949864999999992E-2</v>
      </c>
      <c r="H67" t="s">
        <v>19</v>
      </c>
      <c r="I67" t="s">
        <v>315</v>
      </c>
      <c r="J67">
        <v>0.77607362000000002</v>
      </c>
      <c r="K67" t="s">
        <v>13</v>
      </c>
      <c r="L67" t="s">
        <v>15</v>
      </c>
    </row>
    <row r="68" spans="1:18" x14ac:dyDescent="0.25">
      <c r="A68" t="s">
        <v>219</v>
      </c>
      <c r="B68">
        <v>0.92679999999999996</v>
      </c>
      <c r="C68">
        <v>0.3</v>
      </c>
      <c r="D68">
        <v>0.52700000000000002</v>
      </c>
      <c r="E68">
        <v>1.4999999999999999E-2</v>
      </c>
      <c r="F68">
        <v>1.14887E-4</v>
      </c>
      <c r="G68">
        <f t="shared" ref="G68:G119" si="1">G67+F68</f>
        <v>4.5064751999999993E-2</v>
      </c>
      <c r="H68" t="s">
        <v>81</v>
      </c>
      <c r="I68" t="s">
        <v>15</v>
      </c>
      <c r="J68">
        <v>0.73860182399999996</v>
      </c>
      <c r="K68" t="s">
        <v>13</v>
      </c>
      <c r="L68" t="s">
        <v>15</v>
      </c>
    </row>
    <row r="69" spans="1:18" x14ac:dyDescent="0.25">
      <c r="A69" t="s">
        <v>223</v>
      </c>
      <c r="B69">
        <v>0.97899999999999998</v>
      </c>
      <c r="C69">
        <v>0.26669999999999999</v>
      </c>
      <c r="D69">
        <v>0.51100000000000001</v>
      </c>
      <c r="E69">
        <v>8.0000000000000002E-3</v>
      </c>
      <c r="F69">
        <v>1.1377799999999999E-4</v>
      </c>
      <c r="G69">
        <f t="shared" si="1"/>
        <v>4.5178529999999995E-2</v>
      </c>
      <c r="H69" t="s">
        <v>81</v>
      </c>
      <c r="I69" t="s">
        <v>15</v>
      </c>
      <c r="J69">
        <v>0.73030302999999996</v>
      </c>
      <c r="K69" t="s">
        <v>13</v>
      </c>
      <c r="L69" t="s">
        <v>15</v>
      </c>
    </row>
    <row r="70" spans="1:18" x14ac:dyDescent="0.25">
      <c r="A70" t="s">
        <v>240</v>
      </c>
      <c r="B70">
        <v>0.97260000000000002</v>
      </c>
      <c r="C70">
        <v>0.23330000000000001</v>
      </c>
      <c r="D70">
        <v>0.47599999999999998</v>
      </c>
      <c r="E70">
        <v>1.6E-2</v>
      </c>
      <c r="F70">
        <v>1.11631E-4</v>
      </c>
      <c r="G70">
        <f t="shared" si="1"/>
        <v>4.5290160999999995E-2</v>
      </c>
      <c r="H70" t="s">
        <v>19</v>
      </c>
      <c r="I70" t="s">
        <v>20</v>
      </c>
      <c r="J70">
        <v>0.71216617199999999</v>
      </c>
      <c r="K70" t="s">
        <v>13</v>
      </c>
      <c r="L70" t="s">
        <v>15</v>
      </c>
    </row>
    <row r="71" spans="1:18" x14ac:dyDescent="0.25">
      <c r="A71" t="s">
        <v>262</v>
      </c>
      <c r="B71">
        <v>1</v>
      </c>
      <c r="C71">
        <v>0.2</v>
      </c>
      <c r="D71">
        <v>0.44700000000000001</v>
      </c>
      <c r="E71">
        <v>2.3E-2</v>
      </c>
      <c r="F71" s="1">
        <v>9.6799999999999995E-5</v>
      </c>
      <c r="G71">
        <f t="shared" si="1"/>
        <v>4.5386960999999997E-2</v>
      </c>
      <c r="H71" t="s">
        <v>25</v>
      </c>
      <c r="I71" t="s">
        <v>263</v>
      </c>
      <c r="J71">
        <v>1</v>
      </c>
      <c r="K71" t="s">
        <v>32</v>
      </c>
      <c r="L71" t="s">
        <v>33</v>
      </c>
      <c r="M71" t="s">
        <v>57</v>
      </c>
      <c r="N71" t="s">
        <v>58</v>
      </c>
      <c r="O71" t="s">
        <v>92</v>
      </c>
      <c r="P71" t="s">
        <v>264</v>
      </c>
      <c r="Q71" t="s">
        <v>265</v>
      </c>
      <c r="R71" t="s">
        <v>263</v>
      </c>
    </row>
    <row r="72" spans="1:18" x14ac:dyDescent="0.25">
      <c r="A72" t="s">
        <v>233</v>
      </c>
      <c r="B72">
        <v>0.97819999999999996</v>
      </c>
      <c r="C72">
        <v>0.23330000000000001</v>
      </c>
      <c r="D72">
        <v>0.47799999999999998</v>
      </c>
      <c r="E72">
        <v>1.4E-2</v>
      </c>
      <c r="F72" s="1">
        <v>9.6399999999999999E-5</v>
      </c>
      <c r="G72">
        <f t="shared" si="1"/>
        <v>4.5483361E-2</v>
      </c>
      <c r="H72" t="s">
        <v>12</v>
      </c>
      <c r="I72" t="s">
        <v>35</v>
      </c>
      <c r="J72">
        <v>0.77812499999999996</v>
      </c>
    </row>
    <row r="73" spans="1:18" x14ac:dyDescent="0.25">
      <c r="A73" t="s">
        <v>196</v>
      </c>
      <c r="B73">
        <v>1</v>
      </c>
      <c r="C73">
        <v>0.33329999999999999</v>
      </c>
      <c r="D73">
        <v>0.57699999999999996</v>
      </c>
      <c r="E73">
        <v>1E-3</v>
      </c>
      <c r="F73" s="1">
        <v>9.6000000000000002E-5</v>
      </c>
      <c r="G73">
        <f t="shared" si="1"/>
        <v>4.5579360999999999E-2</v>
      </c>
      <c r="H73" t="s">
        <v>25</v>
      </c>
      <c r="I73" t="s">
        <v>197</v>
      </c>
      <c r="J73">
        <v>0.96805111799999999</v>
      </c>
      <c r="K73" t="s">
        <v>32</v>
      </c>
      <c r="L73" t="s">
        <v>33</v>
      </c>
      <c r="M73" t="s">
        <v>57</v>
      </c>
      <c r="N73" t="s">
        <v>58</v>
      </c>
      <c r="O73" t="s">
        <v>92</v>
      </c>
      <c r="P73" t="s">
        <v>170</v>
      </c>
      <c r="Q73" t="s">
        <v>171</v>
      </c>
      <c r="R73" t="s">
        <v>197</v>
      </c>
    </row>
    <row r="74" spans="1:18" x14ac:dyDescent="0.25">
      <c r="A74" t="s">
        <v>224</v>
      </c>
      <c r="B74">
        <v>0.97489999999999999</v>
      </c>
      <c r="C74">
        <v>0.26669999999999999</v>
      </c>
      <c r="D74">
        <v>0.51</v>
      </c>
      <c r="E74">
        <v>6.0000000000000001E-3</v>
      </c>
      <c r="F74" s="1">
        <v>9.5799999999999998E-5</v>
      </c>
      <c r="G74">
        <f t="shared" si="1"/>
        <v>4.5675160999999999E-2</v>
      </c>
      <c r="H74" t="s">
        <v>81</v>
      </c>
      <c r="I74" t="s">
        <v>15</v>
      </c>
      <c r="J74">
        <v>0.73860182399999996</v>
      </c>
      <c r="K74" t="s">
        <v>13</v>
      </c>
      <c r="L74" t="s">
        <v>15</v>
      </c>
    </row>
    <row r="75" spans="1:18" x14ac:dyDescent="0.25">
      <c r="A75" t="s">
        <v>298</v>
      </c>
      <c r="B75">
        <v>0.90739999999999998</v>
      </c>
      <c r="C75">
        <v>0.23330000000000001</v>
      </c>
      <c r="D75">
        <v>0.46</v>
      </c>
      <c r="E75">
        <v>2.3E-2</v>
      </c>
      <c r="F75" s="1">
        <v>9.2800000000000006E-5</v>
      </c>
      <c r="G75">
        <f t="shared" si="1"/>
        <v>4.5767960999999996E-2</v>
      </c>
      <c r="H75" t="s">
        <v>25</v>
      </c>
      <c r="I75" t="s">
        <v>316</v>
      </c>
      <c r="J75">
        <v>0.99680511199999999</v>
      </c>
      <c r="K75" t="s">
        <v>13</v>
      </c>
      <c r="L75" t="s">
        <v>15</v>
      </c>
      <c r="M75" t="s">
        <v>44</v>
      </c>
      <c r="N75" t="s">
        <v>91</v>
      </c>
      <c r="O75" t="s">
        <v>90</v>
      </c>
      <c r="P75" t="s">
        <v>317</v>
      </c>
      <c r="Q75" t="s">
        <v>318</v>
      </c>
      <c r="R75" t="s">
        <v>316</v>
      </c>
    </row>
    <row r="76" spans="1:18" x14ac:dyDescent="0.25">
      <c r="A76" t="s">
        <v>89</v>
      </c>
      <c r="B76">
        <v>0.98129999999999995</v>
      </c>
      <c r="C76">
        <v>0.26669999999999999</v>
      </c>
      <c r="D76">
        <v>0.51200000000000001</v>
      </c>
      <c r="E76">
        <v>3.0000000000000001E-3</v>
      </c>
      <c r="F76" s="1">
        <v>9.2800000000000006E-5</v>
      </c>
      <c r="G76">
        <f t="shared" si="1"/>
        <v>4.5860760999999993E-2</v>
      </c>
      <c r="H76" t="s">
        <v>21</v>
      </c>
      <c r="I76" t="s">
        <v>22</v>
      </c>
      <c r="J76">
        <v>0.80937499999999996</v>
      </c>
      <c r="K76" t="s">
        <v>13</v>
      </c>
      <c r="L76" t="s">
        <v>15</v>
      </c>
      <c r="M76" t="s">
        <v>16</v>
      </c>
      <c r="N76" t="s">
        <v>23</v>
      </c>
      <c r="O76" t="s">
        <v>22</v>
      </c>
    </row>
    <row r="77" spans="1:18" x14ac:dyDescent="0.25">
      <c r="A77" t="s">
        <v>202</v>
      </c>
      <c r="B77">
        <v>1</v>
      </c>
      <c r="C77">
        <v>0.3</v>
      </c>
      <c r="D77">
        <v>0.54800000000000004</v>
      </c>
      <c r="E77">
        <v>3.0000000000000001E-3</v>
      </c>
      <c r="F77" s="1">
        <v>9.1799999999999995E-5</v>
      </c>
      <c r="G77">
        <f t="shared" si="1"/>
        <v>4.5952560999999996E-2</v>
      </c>
      <c r="H77" t="s">
        <v>81</v>
      </c>
      <c r="I77" t="s">
        <v>15</v>
      </c>
      <c r="J77">
        <v>0.74397590400000002</v>
      </c>
      <c r="K77" t="s">
        <v>13</v>
      </c>
      <c r="L77" t="s">
        <v>15</v>
      </c>
    </row>
    <row r="78" spans="1:18" x14ac:dyDescent="0.25">
      <c r="A78" t="s">
        <v>226</v>
      </c>
      <c r="B78">
        <v>0.96479999999999999</v>
      </c>
      <c r="C78">
        <v>0.26669999999999999</v>
      </c>
      <c r="D78">
        <v>0.50700000000000001</v>
      </c>
      <c r="E78">
        <v>1.2E-2</v>
      </c>
      <c r="F78" s="1">
        <v>9.0500000000000004E-5</v>
      </c>
      <c r="G78">
        <f t="shared" si="1"/>
        <v>4.6043060999999996E-2</v>
      </c>
      <c r="H78" t="s">
        <v>38</v>
      </c>
      <c r="I78" t="s">
        <v>39</v>
      </c>
      <c r="J78">
        <v>0.76543209899999998</v>
      </c>
    </row>
    <row r="79" spans="1:18" x14ac:dyDescent="0.25">
      <c r="A79" t="s">
        <v>198</v>
      </c>
      <c r="B79">
        <v>1</v>
      </c>
      <c r="C79">
        <v>0.3</v>
      </c>
      <c r="D79">
        <v>0.54800000000000004</v>
      </c>
      <c r="E79">
        <v>4.0000000000000001E-3</v>
      </c>
      <c r="F79" s="1">
        <v>8.9800000000000001E-5</v>
      </c>
      <c r="G79">
        <f t="shared" si="1"/>
        <v>4.6132860999999997E-2</v>
      </c>
      <c r="H79" t="s">
        <v>25</v>
      </c>
      <c r="I79" t="s">
        <v>199</v>
      </c>
      <c r="J79">
        <v>1</v>
      </c>
      <c r="K79" t="s">
        <v>32</v>
      </c>
      <c r="L79" t="s">
        <v>33</v>
      </c>
      <c r="M79" t="s">
        <v>57</v>
      </c>
      <c r="N79" t="s">
        <v>58</v>
      </c>
      <c r="O79" t="s">
        <v>92</v>
      </c>
      <c r="P79" t="s">
        <v>170</v>
      </c>
      <c r="Q79" t="s">
        <v>200</v>
      </c>
      <c r="R79" t="s">
        <v>199</v>
      </c>
    </row>
    <row r="80" spans="1:18" x14ac:dyDescent="0.25">
      <c r="A80" t="s">
        <v>185</v>
      </c>
      <c r="B80">
        <v>0.79090000000000005</v>
      </c>
      <c r="C80">
        <v>0.4</v>
      </c>
      <c r="D80">
        <v>0.56200000000000006</v>
      </c>
      <c r="E80">
        <v>4.4999999999999998E-2</v>
      </c>
      <c r="F80" s="1">
        <v>8.6299999999999997E-5</v>
      </c>
      <c r="G80">
        <f t="shared" si="1"/>
        <v>4.6219160999999995E-2</v>
      </c>
      <c r="H80" t="s">
        <v>21</v>
      </c>
      <c r="I80" t="s">
        <v>43</v>
      </c>
      <c r="J80">
        <v>0.90476190499999998</v>
      </c>
      <c r="K80" t="s">
        <v>40</v>
      </c>
      <c r="L80" t="s">
        <v>41</v>
      </c>
      <c r="M80" t="s">
        <v>41</v>
      </c>
      <c r="N80" t="s">
        <v>42</v>
      </c>
      <c r="O80" t="s">
        <v>43</v>
      </c>
    </row>
    <row r="81" spans="1:18" x14ac:dyDescent="0.25">
      <c r="A81" t="s">
        <v>299</v>
      </c>
      <c r="B81">
        <v>1</v>
      </c>
      <c r="C81">
        <v>0.16669999999999999</v>
      </c>
      <c r="D81">
        <v>0.40799999999999997</v>
      </c>
      <c r="E81">
        <v>4.4999999999999998E-2</v>
      </c>
      <c r="F81" s="1">
        <v>8.4599999999999996E-5</v>
      </c>
      <c r="G81">
        <f t="shared" si="1"/>
        <v>4.6303760999999992E-2</v>
      </c>
      <c r="H81" t="s">
        <v>12</v>
      </c>
      <c r="I81" t="s">
        <v>35</v>
      </c>
      <c r="J81">
        <v>0.731117825</v>
      </c>
    </row>
    <row r="82" spans="1:18" x14ac:dyDescent="0.25">
      <c r="A82" t="s">
        <v>201</v>
      </c>
      <c r="B82">
        <v>1</v>
      </c>
      <c r="C82">
        <v>0.33329999999999999</v>
      </c>
      <c r="D82">
        <v>0.57699999999999996</v>
      </c>
      <c r="E82">
        <v>1E-3</v>
      </c>
      <c r="F82" s="1">
        <v>8.4400000000000005E-5</v>
      </c>
      <c r="G82">
        <f t="shared" si="1"/>
        <v>4.638816099999999E-2</v>
      </c>
      <c r="H82" t="s">
        <v>81</v>
      </c>
      <c r="I82" t="s">
        <v>15</v>
      </c>
      <c r="J82">
        <v>0.72289156600000004</v>
      </c>
      <c r="K82" t="s">
        <v>13</v>
      </c>
      <c r="L82" t="s">
        <v>15</v>
      </c>
    </row>
    <row r="83" spans="1:18" x14ac:dyDescent="0.25">
      <c r="A83" t="s">
        <v>300</v>
      </c>
      <c r="B83">
        <v>0.80279999999999996</v>
      </c>
      <c r="C83">
        <v>0.33329999999999999</v>
      </c>
      <c r="D83">
        <v>0.51700000000000002</v>
      </c>
      <c r="E83">
        <v>4.8000000000000001E-2</v>
      </c>
      <c r="F83" s="1">
        <v>8.3599999999999999E-5</v>
      </c>
      <c r="G83">
        <f t="shared" si="1"/>
        <v>4.6471760999999993E-2</v>
      </c>
      <c r="H83" t="s">
        <v>12</v>
      </c>
      <c r="I83" t="s">
        <v>35</v>
      </c>
      <c r="J83">
        <v>0.82758620699999996</v>
      </c>
    </row>
    <row r="84" spans="1:18" x14ac:dyDescent="0.25">
      <c r="A84" t="s">
        <v>301</v>
      </c>
      <c r="B84">
        <v>1</v>
      </c>
      <c r="C84">
        <v>0.2</v>
      </c>
      <c r="D84">
        <v>0.44700000000000001</v>
      </c>
      <c r="E84">
        <v>2.3E-2</v>
      </c>
      <c r="F84" s="1">
        <v>7.9300000000000003E-5</v>
      </c>
      <c r="G84">
        <f t="shared" si="1"/>
        <v>4.6551060999999991E-2</v>
      </c>
      <c r="H84" t="s">
        <v>12</v>
      </c>
      <c r="I84" t="s">
        <v>35</v>
      </c>
      <c r="J84">
        <v>0.74539877300000001</v>
      </c>
    </row>
    <row r="85" spans="1:18" x14ac:dyDescent="0.25">
      <c r="A85" t="s">
        <v>180</v>
      </c>
      <c r="B85">
        <v>1</v>
      </c>
      <c r="C85">
        <v>0.33329999999999999</v>
      </c>
      <c r="D85">
        <v>0.57699999999999996</v>
      </c>
      <c r="E85">
        <v>1E-3</v>
      </c>
      <c r="F85" s="1">
        <v>7.7899999999999996E-5</v>
      </c>
      <c r="G85">
        <f t="shared" si="1"/>
        <v>4.662896099999999E-2</v>
      </c>
      <c r="H85" t="s">
        <v>21</v>
      </c>
      <c r="I85" t="s">
        <v>36</v>
      </c>
      <c r="J85">
        <v>0.88580246900000004</v>
      </c>
      <c r="K85" t="s">
        <v>13</v>
      </c>
      <c r="L85" t="s">
        <v>15</v>
      </c>
      <c r="M85" t="s">
        <v>16</v>
      </c>
      <c r="N85" t="s">
        <v>37</v>
      </c>
      <c r="O85" t="s">
        <v>36</v>
      </c>
    </row>
    <row r="86" spans="1:18" x14ac:dyDescent="0.25">
      <c r="A86" t="s">
        <v>235</v>
      </c>
      <c r="B86">
        <v>1</v>
      </c>
      <c r="C86">
        <v>0.26669999999999999</v>
      </c>
      <c r="D86">
        <v>0.51600000000000001</v>
      </c>
      <c r="E86">
        <v>8.0000000000000002E-3</v>
      </c>
      <c r="F86" s="1">
        <v>7.7399999999999998E-5</v>
      </c>
      <c r="G86">
        <f t="shared" si="1"/>
        <v>4.6706360999999988E-2</v>
      </c>
      <c r="H86" t="s">
        <v>81</v>
      </c>
      <c r="I86" t="s">
        <v>15</v>
      </c>
      <c r="J86">
        <v>0.751533742</v>
      </c>
      <c r="K86" t="s">
        <v>13</v>
      </c>
      <c r="L86" t="s">
        <v>15</v>
      </c>
    </row>
    <row r="87" spans="1:18" x14ac:dyDescent="0.25">
      <c r="A87" t="s">
        <v>302</v>
      </c>
      <c r="B87">
        <v>1</v>
      </c>
      <c r="C87">
        <v>0.26669999999999999</v>
      </c>
      <c r="D87">
        <v>0.51600000000000001</v>
      </c>
      <c r="E87">
        <v>4.0000000000000001E-3</v>
      </c>
      <c r="F87" s="1">
        <v>7.4999999999999993E-5</v>
      </c>
      <c r="G87">
        <f t="shared" si="1"/>
        <v>4.6781360999999987E-2</v>
      </c>
      <c r="H87" t="s">
        <v>25</v>
      </c>
      <c r="I87" t="s">
        <v>319</v>
      </c>
      <c r="J87">
        <v>0.99361022399999999</v>
      </c>
      <c r="K87" t="s">
        <v>32</v>
      </c>
      <c r="L87" t="s">
        <v>33</v>
      </c>
      <c r="M87" t="s">
        <v>57</v>
      </c>
      <c r="N87" t="s">
        <v>58</v>
      </c>
      <c r="O87" t="s">
        <v>92</v>
      </c>
      <c r="P87" t="s">
        <v>96</v>
      </c>
      <c r="Q87" t="s">
        <v>165</v>
      </c>
      <c r="R87" t="s">
        <v>319</v>
      </c>
    </row>
    <row r="88" spans="1:18" x14ac:dyDescent="0.25">
      <c r="A88" t="s">
        <v>188</v>
      </c>
      <c r="B88">
        <v>0.81110000000000004</v>
      </c>
      <c r="C88">
        <v>0.36670000000000003</v>
      </c>
      <c r="D88">
        <v>0.54500000000000004</v>
      </c>
      <c r="E88">
        <v>1.7999999999999999E-2</v>
      </c>
      <c r="F88" s="1">
        <v>7.4200000000000001E-5</v>
      </c>
      <c r="G88">
        <f t="shared" si="1"/>
        <v>4.685556099999999E-2</v>
      </c>
      <c r="H88" t="s">
        <v>25</v>
      </c>
      <c r="I88" t="s">
        <v>189</v>
      </c>
      <c r="J88">
        <v>0.86119873800000002</v>
      </c>
      <c r="K88" t="s">
        <v>190</v>
      </c>
      <c r="L88" t="s">
        <v>191</v>
      </c>
      <c r="M88" t="s">
        <v>192</v>
      </c>
      <c r="N88" t="s">
        <v>193</v>
      </c>
      <c r="O88" t="s">
        <v>194</v>
      </c>
      <c r="Q88" t="s">
        <v>195</v>
      </c>
      <c r="R88" t="s">
        <v>189</v>
      </c>
    </row>
    <row r="89" spans="1:18" x14ac:dyDescent="0.25">
      <c r="A89" t="s">
        <v>268</v>
      </c>
      <c r="B89">
        <v>0.96430000000000005</v>
      </c>
      <c r="C89">
        <v>0.2</v>
      </c>
      <c r="D89">
        <v>0.439</v>
      </c>
      <c r="E89">
        <v>2.9000000000000001E-2</v>
      </c>
      <c r="F89" s="1">
        <v>7.4200000000000001E-5</v>
      </c>
      <c r="G89">
        <f t="shared" si="1"/>
        <v>4.6929760999999993E-2</v>
      </c>
      <c r="H89" t="s">
        <v>25</v>
      </c>
      <c r="I89" t="s">
        <v>269</v>
      </c>
      <c r="J89">
        <v>0.85079365100000004</v>
      </c>
      <c r="K89" t="s">
        <v>13</v>
      </c>
      <c r="L89" t="s">
        <v>15</v>
      </c>
      <c r="M89" t="s">
        <v>270</v>
      </c>
      <c r="N89" t="s">
        <v>271</v>
      </c>
      <c r="O89" t="s">
        <v>272</v>
      </c>
      <c r="P89" t="s">
        <v>273</v>
      </c>
      <c r="Q89" t="s">
        <v>274</v>
      </c>
      <c r="R89" t="s">
        <v>269</v>
      </c>
    </row>
    <row r="90" spans="1:18" x14ac:dyDescent="0.25">
      <c r="A90" t="s">
        <v>97</v>
      </c>
      <c r="B90">
        <v>1</v>
      </c>
      <c r="C90">
        <v>0.23330000000000001</v>
      </c>
      <c r="D90">
        <v>0.48299999999999998</v>
      </c>
      <c r="E90">
        <v>1.0999999999999999E-2</v>
      </c>
      <c r="F90" s="1">
        <v>7.3200000000000004E-5</v>
      </c>
      <c r="G90">
        <f t="shared" si="1"/>
        <v>4.7002960999999996E-2</v>
      </c>
      <c r="H90" t="s">
        <v>81</v>
      </c>
      <c r="I90" t="s">
        <v>15</v>
      </c>
      <c r="J90">
        <v>0.74539877300000001</v>
      </c>
      <c r="K90" t="s">
        <v>13</v>
      </c>
      <c r="L90" t="s">
        <v>15</v>
      </c>
    </row>
    <row r="91" spans="1:18" x14ac:dyDescent="0.25">
      <c r="A91" t="s">
        <v>237</v>
      </c>
      <c r="B91">
        <v>1</v>
      </c>
      <c r="C91">
        <v>0.26669999999999999</v>
      </c>
      <c r="D91">
        <v>0.51600000000000001</v>
      </c>
      <c r="E91">
        <v>4.0000000000000001E-3</v>
      </c>
      <c r="F91" s="1">
        <v>7.3200000000000004E-5</v>
      </c>
      <c r="G91">
        <f t="shared" si="1"/>
        <v>4.7076160999999998E-2</v>
      </c>
      <c r="H91" t="s">
        <v>38</v>
      </c>
      <c r="I91" t="s">
        <v>58</v>
      </c>
      <c r="J91">
        <v>0.85443038000000004</v>
      </c>
      <c r="K91" t="s">
        <v>32</v>
      </c>
      <c r="L91" t="s">
        <v>33</v>
      </c>
      <c r="M91" t="s">
        <v>57</v>
      </c>
      <c r="N91" t="s">
        <v>58</v>
      </c>
    </row>
    <row r="92" spans="1:18" x14ac:dyDescent="0.25">
      <c r="A92" t="s">
        <v>257</v>
      </c>
      <c r="B92">
        <v>1</v>
      </c>
      <c r="C92">
        <v>0.2</v>
      </c>
      <c r="D92">
        <v>0.44700000000000001</v>
      </c>
      <c r="E92">
        <v>0.03</v>
      </c>
      <c r="F92" s="1">
        <v>7.2100000000000004E-5</v>
      </c>
      <c r="G92">
        <f t="shared" si="1"/>
        <v>4.7148260999999997E-2</v>
      </c>
      <c r="H92" t="s">
        <v>81</v>
      </c>
      <c r="I92" t="s">
        <v>15</v>
      </c>
      <c r="J92">
        <v>0.74695122000000003</v>
      </c>
      <c r="K92" t="s">
        <v>13</v>
      </c>
      <c r="L92" t="s">
        <v>15</v>
      </c>
    </row>
    <row r="93" spans="1:18" x14ac:dyDescent="0.25">
      <c r="A93" t="s">
        <v>252</v>
      </c>
      <c r="B93">
        <v>1</v>
      </c>
      <c r="C93">
        <v>0.26669999999999999</v>
      </c>
      <c r="D93">
        <v>0.51600000000000001</v>
      </c>
      <c r="E93">
        <v>6.0000000000000001E-3</v>
      </c>
      <c r="F93" s="1">
        <v>7.0699999999999997E-5</v>
      </c>
      <c r="G93">
        <f t="shared" si="1"/>
        <v>4.7218960999999997E-2</v>
      </c>
      <c r="H93" t="s">
        <v>12</v>
      </c>
      <c r="I93" t="s">
        <v>35</v>
      </c>
      <c r="J93">
        <v>0.79204892999999998</v>
      </c>
    </row>
    <row r="94" spans="1:18" x14ac:dyDescent="0.25">
      <c r="A94" t="s">
        <v>275</v>
      </c>
      <c r="B94">
        <v>0.92930000000000001</v>
      </c>
      <c r="C94">
        <v>0.2</v>
      </c>
      <c r="D94">
        <v>0.43099999999999999</v>
      </c>
      <c r="E94">
        <v>3.7999999999999999E-2</v>
      </c>
      <c r="F94" s="1">
        <v>6.6400000000000001E-5</v>
      </c>
      <c r="G94">
        <f t="shared" si="1"/>
        <v>4.7285360999999998E-2</v>
      </c>
      <c r="H94" t="s">
        <v>12</v>
      </c>
      <c r="I94" t="s">
        <v>35</v>
      </c>
      <c r="J94">
        <v>0.82075471700000002</v>
      </c>
    </row>
    <row r="95" spans="1:18" x14ac:dyDescent="0.25">
      <c r="A95" t="s">
        <v>229</v>
      </c>
      <c r="B95">
        <v>0.91500000000000004</v>
      </c>
      <c r="C95">
        <v>0.3</v>
      </c>
      <c r="D95">
        <v>0.52400000000000002</v>
      </c>
      <c r="E95">
        <v>1.4999999999999999E-2</v>
      </c>
      <c r="F95" s="1">
        <v>6.6199999999999996E-5</v>
      </c>
      <c r="G95">
        <f t="shared" si="1"/>
        <v>4.7351561E-2</v>
      </c>
      <c r="H95" t="s">
        <v>19</v>
      </c>
      <c r="I95" t="s">
        <v>63</v>
      </c>
      <c r="J95">
        <v>0.79876161000000001</v>
      </c>
    </row>
    <row r="96" spans="1:18" x14ac:dyDescent="0.25">
      <c r="A96" t="s">
        <v>85</v>
      </c>
      <c r="B96">
        <v>0.79259999999999997</v>
      </c>
      <c r="C96">
        <v>0.4</v>
      </c>
      <c r="D96">
        <v>0.56299999999999994</v>
      </c>
      <c r="E96">
        <v>3.5000000000000003E-2</v>
      </c>
      <c r="F96" s="1">
        <v>6.2899999999999997E-5</v>
      </c>
      <c r="G96">
        <f t="shared" si="1"/>
        <v>4.7414460999999998E-2</v>
      </c>
      <c r="H96" t="s">
        <v>25</v>
      </c>
      <c r="I96" t="s">
        <v>86</v>
      </c>
      <c r="J96">
        <v>0.99041533500000001</v>
      </c>
      <c r="K96" t="s">
        <v>40</v>
      </c>
      <c r="L96" t="s">
        <v>41</v>
      </c>
      <c r="M96" t="s">
        <v>41</v>
      </c>
      <c r="N96" t="s">
        <v>42</v>
      </c>
      <c r="O96" t="s">
        <v>43</v>
      </c>
      <c r="P96" t="s">
        <v>87</v>
      </c>
      <c r="Q96" t="s">
        <v>88</v>
      </c>
      <c r="R96" t="s">
        <v>86</v>
      </c>
    </row>
    <row r="97" spans="1:18" x14ac:dyDescent="0.25">
      <c r="A97" t="s">
        <v>64</v>
      </c>
      <c r="B97">
        <v>0.94379999999999997</v>
      </c>
      <c r="C97">
        <v>0.23330000000000001</v>
      </c>
      <c r="D97">
        <v>0.46899999999999997</v>
      </c>
      <c r="E97">
        <v>2.3E-2</v>
      </c>
      <c r="F97" s="1">
        <v>6.2700000000000006E-5</v>
      </c>
      <c r="G97">
        <f t="shared" si="1"/>
        <v>4.7477160999999997E-2</v>
      </c>
      <c r="H97" t="s">
        <v>25</v>
      </c>
      <c r="I97" t="s">
        <v>52</v>
      </c>
      <c r="J97">
        <v>0.94249201299999996</v>
      </c>
      <c r="K97" t="s">
        <v>32</v>
      </c>
      <c r="L97" t="s">
        <v>33</v>
      </c>
      <c r="M97" t="s">
        <v>31</v>
      </c>
      <c r="N97" t="s">
        <v>53</v>
      </c>
      <c r="O97" t="s">
        <v>54</v>
      </c>
      <c r="P97" t="s">
        <v>55</v>
      </c>
      <c r="Q97" t="s">
        <v>56</v>
      </c>
      <c r="R97" t="s">
        <v>52</v>
      </c>
    </row>
    <row r="98" spans="1:18" x14ac:dyDescent="0.25">
      <c r="A98" t="s">
        <v>254</v>
      </c>
      <c r="B98">
        <v>1</v>
      </c>
      <c r="C98">
        <v>0.2</v>
      </c>
      <c r="D98">
        <v>0.44700000000000001</v>
      </c>
      <c r="E98">
        <v>0.02</v>
      </c>
      <c r="F98" s="1">
        <v>6.0900000000000003E-5</v>
      </c>
      <c r="G98">
        <f t="shared" si="1"/>
        <v>4.7538061E-2</v>
      </c>
      <c r="H98" t="s">
        <v>81</v>
      </c>
      <c r="I98" t="s">
        <v>15</v>
      </c>
      <c r="J98">
        <v>0.73795180699999996</v>
      </c>
      <c r="K98" t="s">
        <v>13</v>
      </c>
      <c r="L98" t="s">
        <v>15</v>
      </c>
    </row>
    <row r="99" spans="1:18" x14ac:dyDescent="0.25">
      <c r="A99" t="s">
        <v>255</v>
      </c>
      <c r="B99">
        <v>1</v>
      </c>
      <c r="C99">
        <v>0.23330000000000001</v>
      </c>
      <c r="D99">
        <v>0.48299999999999998</v>
      </c>
      <c r="E99">
        <v>7.0000000000000001E-3</v>
      </c>
      <c r="F99" s="1">
        <v>5.1100000000000002E-5</v>
      </c>
      <c r="G99">
        <f t="shared" si="1"/>
        <v>4.7589160999999998E-2</v>
      </c>
      <c r="H99" t="s">
        <v>81</v>
      </c>
      <c r="I99" t="s">
        <v>15</v>
      </c>
      <c r="J99">
        <v>0.72560975599999999</v>
      </c>
      <c r="K99" t="s">
        <v>13</v>
      </c>
      <c r="L99" t="s">
        <v>15</v>
      </c>
    </row>
    <row r="100" spans="1:18" x14ac:dyDescent="0.25">
      <c r="A100" t="s">
        <v>231</v>
      </c>
      <c r="B100">
        <v>1</v>
      </c>
      <c r="C100">
        <v>0.26669999999999999</v>
      </c>
      <c r="D100">
        <v>0.51600000000000001</v>
      </c>
      <c r="E100">
        <v>5.0000000000000001E-3</v>
      </c>
      <c r="F100" s="1">
        <v>4.8699999999999998E-5</v>
      </c>
      <c r="G100">
        <f t="shared" si="1"/>
        <v>4.7637860999999997E-2</v>
      </c>
      <c r="H100" t="s">
        <v>21</v>
      </c>
      <c r="I100" t="s">
        <v>92</v>
      </c>
      <c r="J100">
        <v>0.90793650800000003</v>
      </c>
      <c r="K100" t="s">
        <v>32</v>
      </c>
      <c r="L100" t="s">
        <v>33</v>
      </c>
      <c r="M100" t="s">
        <v>57</v>
      </c>
      <c r="N100" t="s">
        <v>58</v>
      </c>
      <c r="O100" t="s">
        <v>92</v>
      </c>
    </row>
    <row r="101" spans="1:18" x14ac:dyDescent="0.25">
      <c r="A101" t="s">
        <v>248</v>
      </c>
      <c r="B101">
        <v>0.88929999999999998</v>
      </c>
      <c r="C101">
        <v>0.26669999999999999</v>
      </c>
      <c r="D101">
        <v>0.48699999999999999</v>
      </c>
      <c r="E101">
        <v>2.1999999999999999E-2</v>
      </c>
      <c r="F101" s="1">
        <v>4.6E-5</v>
      </c>
      <c r="G101">
        <f t="shared" si="1"/>
        <v>4.7683860999999994E-2</v>
      </c>
      <c r="H101" t="s">
        <v>81</v>
      </c>
      <c r="I101" t="s">
        <v>15</v>
      </c>
      <c r="J101">
        <v>0.73809523799999999</v>
      </c>
      <c r="K101" t="s">
        <v>13</v>
      </c>
      <c r="L101" t="s">
        <v>15</v>
      </c>
    </row>
    <row r="102" spans="1:18" x14ac:dyDescent="0.25">
      <c r="A102" t="s">
        <v>247</v>
      </c>
      <c r="B102">
        <v>0.87980000000000003</v>
      </c>
      <c r="C102">
        <v>0.26669999999999999</v>
      </c>
      <c r="D102">
        <v>0.48399999999999999</v>
      </c>
      <c r="E102">
        <v>2.8000000000000001E-2</v>
      </c>
      <c r="F102" s="1">
        <v>4.49E-5</v>
      </c>
      <c r="G102">
        <f t="shared" si="1"/>
        <v>4.7728760999999995E-2</v>
      </c>
      <c r="H102" t="s">
        <v>81</v>
      </c>
      <c r="I102" t="s">
        <v>15</v>
      </c>
      <c r="J102">
        <v>0.74617736999999995</v>
      </c>
      <c r="K102" t="s">
        <v>13</v>
      </c>
      <c r="L102" t="s">
        <v>15</v>
      </c>
    </row>
    <row r="103" spans="1:18" x14ac:dyDescent="0.25">
      <c r="A103" t="s">
        <v>222</v>
      </c>
      <c r="B103">
        <v>1</v>
      </c>
      <c r="C103">
        <v>0.26669999999999999</v>
      </c>
      <c r="D103">
        <v>0.51600000000000001</v>
      </c>
      <c r="E103">
        <v>5.0000000000000001E-3</v>
      </c>
      <c r="F103" s="1">
        <v>4.3300000000000002E-5</v>
      </c>
      <c r="G103">
        <f t="shared" si="1"/>
        <v>4.7772060999999998E-2</v>
      </c>
      <c r="H103" t="s">
        <v>25</v>
      </c>
      <c r="I103" t="s">
        <v>169</v>
      </c>
      <c r="J103">
        <v>0.96166134199999997</v>
      </c>
      <c r="K103" t="s">
        <v>32</v>
      </c>
      <c r="L103" t="s">
        <v>33</v>
      </c>
      <c r="M103" t="s">
        <v>57</v>
      </c>
      <c r="N103" t="s">
        <v>58</v>
      </c>
      <c r="O103" t="s">
        <v>92</v>
      </c>
      <c r="P103" t="s">
        <v>170</v>
      </c>
      <c r="Q103" t="s">
        <v>171</v>
      </c>
      <c r="R103" t="s">
        <v>169</v>
      </c>
    </row>
    <row r="104" spans="1:18" x14ac:dyDescent="0.25">
      <c r="A104" t="s">
        <v>303</v>
      </c>
      <c r="B104">
        <v>0.95920000000000005</v>
      </c>
      <c r="C104">
        <v>0.2</v>
      </c>
      <c r="D104">
        <v>0.438</v>
      </c>
      <c r="E104">
        <v>2.5000000000000001E-2</v>
      </c>
      <c r="F104" s="1">
        <v>4.1399999999999997E-5</v>
      </c>
      <c r="G104">
        <f t="shared" si="1"/>
        <v>4.7813460999999995E-2</v>
      </c>
      <c r="H104" t="s">
        <v>81</v>
      </c>
      <c r="I104" t="s">
        <v>15</v>
      </c>
      <c r="J104">
        <v>0.73493975899999997</v>
      </c>
      <c r="K104" t="s">
        <v>13</v>
      </c>
      <c r="L104" t="s">
        <v>15</v>
      </c>
    </row>
    <row r="105" spans="1:18" x14ac:dyDescent="0.25">
      <c r="A105" t="s">
        <v>243</v>
      </c>
      <c r="B105">
        <v>0.94020000000000004</v>
      </c>
      <c r="C105">
        <v>0.26669999999999999</v>
      </c>
      <c r="D105">
        <v>0.501</v>
      </c>
      <c r="E105">
        <v>1.2999999999999999E-2</v>
      </c>
      <c r="F105" s="1">
        <v>4.0599999999999998E-5</v>
      </c>
      <c r="G105">
        <f t="shared" si="1"/>
        <v>4.7854060999999996E-2</v>
      </c>
      <c r="H105" t="s">
        <v>25</v>
      </c>
      <c r="I105" t="s">
        <v>244</v>
      </c>
      <c r="J105">
        <v>0.99041533500000001</v>
      </c>
      <c r="K105" t="s">
        <v>32</v>
      </c>
      <c r="L105" t="s">
        <v>33</v>
      </c>
      <c r="M105" t="s">
        <v>57</v>
      </c>
      <c r="N105" t="s">
        <v>58</v>
      </c>
      <c r="O105" t="s">
        <v>92</v>
      </c>
      <c r="P105" t="s">
        <v>174</v>
      </c>
      <c r="Q105" t="s">
        <v>245</v>
      </c>
      <c r="R105" t="s">
        <v>244</v>
      </c>
    </row>
    <row r="106" spans="1:18" x14ac:dyDescent="0.25">
      <c r="A106" t="s">
        <v>304</v>
      </c>
      <c r="B106">
        <v>0.83689999999999998</v>
      </c>
      <c r="C106">
        <v>0.3</v>
      </c>
      <c r="D106">
        <v>0.501</v>
      </c>
      <c r="E106">
        <v>4.2000000000000003E-2</v>
      </c>
      <c r="F106" s="1">
        <v>4.0500000000000002E-5</v>
      </c>
      <c r="G106">
        <f t="shared" si="1"/>
        <v>4.7894560999999995E-2</v>
      </c>
      <c r="H106" t="s">
        <v>12</v>
      </c>
      <c r="I106" t="s">
        <v>35</v>
      </c>
      <c r="J106">
        <v>0.79813664600000001</v>
      </c>
    </row>
    <row r="107" spans="1:18" x14ac:dyDescent="0.25">
      <c r="A107" t="s">
        <v>234</v>
      </c>
      <c r="B107">
        <v>1</v>
      </c>
      <c r="C107">
        <v>0.23330000000000001</v>
      </c>
      <c r="D107">
        <v>0.48299999999999998</v>
      </c>
      <c r="E107">
        <v>1.0999999999999999E-2</v>
      </c>
      <c r="F107" s="1">
        <v>3.8899999999999997E-5</v>
      </c>
      <c r="G107">
        <f t="shared" si="1"/>
        <v>4.7933460999999997E-2</v>
      </c>
      <c r="H107" t="s">
        <v>81</v>
      </c>
      <c r="I107" t="s">
        <v>15</v>
      </c>
      <c r="J107">
        <v>0.75766871199999997</v>
      </c>
      <c r="K107" t="s">
        <v>13</v>
      </c>
      <c r="L107" t="s">
        <v>15</v>
      </c>
    </row>
    <row r="108" spans="1:18" x14ac:dyDescent="0.25">
      <c r="A108" t="s">
        <v>305</v>
      </c>
      <c r="B108">
        <v>1</v>
      </c>
      <c r="C108">
        <v>0.2</v>
      </c>
      <c r="D108">
        <v>0.44700000000000001</v>
      </c>
      <c r="E108">
        <v>2.7E-2</v>
      </c>
      <c r="F108" s="1">
        <v>3.3599999999999997E-5</v>
      </c>
      <c r="G108">
        <f t="shared" si="1"/>
        <v>4.7967060999999998E-2</v>
      </c>
      <c r="H108" t="s">
        <v>12</v>
      </c>
      <c r="I108" t="s">
        <v>35</v>
      </c>
      <c r="J108">
        <v>0.841121495</v>
      </c>
    </row>
    <row r="109" spans="1:18" x14ac:dyDescent="0.25">
      <c r="A109" t="s">
        <v>230</v>
      </c>
      <c r="B109">
        <v>1</v>
      </c>
      <c r="C109">
        <v>0.3</v>
      </c>
      <c r="D109">
        <v>0.54800000000000004</v>
      </c>
      <c r="E109">
        <v>3.0000000000000001E-3</v>
      </c>
      <c r="F109" s="1">
        <v>3.3500000000000001E-5</v>
      </c>
      <c r="G109">
        <f t="shared" si="1"/>
        <v>4.8000560999999997E-2</v>
      </c>
      <c r="H109" t="s">
        <v>14</v>
      </c>
      <c r="I109" t="s">
        <v>174</v>
      </c>
      <c r="J109">
        <v>0.94249201299999996</v>
      </c>
      <c r="K109" t="s">
        <v>32</v>
      </c>
      <c r="L109" t="s">
        <v>33</v>
      </c>
      <c r="M109" t="s">
        <v>57</v>
      </c>
      <c r="N109" t="s">
        <v>58</v>
      </c>
      <c r="O109" t="s">
        <v>92</v>
      </c>
      <c r="P109" t="s">
        <v>174</v>
      </c>
    </row>
    <row r="110" spans="1:18" x14ac:dyDescent="0.25">
      <c r="A110" t="s">
        <v>306</v>
      </c>
      <c r="B110">
        <v>1</v>
      </c>
      <c r="C110">
        <v>0.2</v>
      </c>
      <c r="D110">
        <v>0.44700000000000001</v>
      </c>
      <c r="E110">
        <v>0.03</v>
      </c>
      <c r="F110" s="1">
        <v>3.3399999999999999E-5</v>
      </c>
      <c r="G110">
        <f t="shared" si="1"/>
        <v>4.8033961E-2</v>
      </c>
      <c r="H110" t="s">
        <v>25</v>
      </c>
      <c r="I110" t="s">
        <v>269</v>
      </c>
      <c r="J110">
        <v>0.81191222600000001</v>
      </c>
      <c r="K110" t="s">
        <v>13</v>
      </c>
      <c r="L110" t="s">
        <v>15</v>
      </c>
      <c r="M110" t="s">
        <v>270</v>
      </c>
      <c r="N110" t="s">
        <v>271</v>
      </c>
      <c r="O110" t="s">
        <v>272</v>
      </c>
      <c r="P110" t="s">
        <v>273</v>
      </c>
      <c r="Q110" t="s">
        <v>274</v>
      </c>
      <c r="R110" t="s">
        <v>269</v>
      </c>
    </row>
    <row r="111" spans="1:18" x14ac:dyDescent="0.25">
      <c r="A111" t="s">
        <v>307</v>
      </c>
      <c r="B111">
        <v>0.93569999999999998</v>
      </c>
      <c r="C111">
        <v>0.2</v>
      </c>
      <c r="D111">
        <v>0.433</v>
      </c>
      <c r="E111">
        <v>2.4E-2</v>
      </c>
      <c r="F111" s="1">
        <v>3.2299999999999999E-5</v>
      </c>
      <c r="G111">
        <f t="shared" si="1"/>
        <v>4.8066260999999999E-2</v>
      </c>
      <c r="H111" t="s">
        <v>25</v>
      </c>
      <c r="I111" t="s">
        <v>320</v>
      </c>
      <c r="J111">
        <v>1</v>
      </c>
      <c r="K111" t="s">
        <v>13</v>
      </c>
      <c r="L111" t="s">
        <v>15</v>
      </c>
      <c r="M111" t="s">
        <v>82</v>
      </c>
      <c r="N111" t="s">
        <v>83</v>
      </c>
      <c r="O111" t="s">
        <v>93</v>
      </c>
      <c r="P111" t="s">
        <v>321</v>
      </c>
      <c r="Q111" t="s">
        <v>322</v>
      </c>
      <c r="R111" t="s">
        <v>320</v>
      </c>
    </row>
    <row r="112" spans="1:18" x14ac:dyDescent="0.25">
      <c r="A112" t="s">
        <v>308</v>
      </c>
      <c r="B112">
        <v>0.93469999999999998</v>
      </c>
      <c r="C112">
        <v>0.2</v>
      </c>
      <c r="D112">
        <v>0.432</v>
      </c>
      <c r="E112">
        <v>1.9E-2</v>
      </c>
      <c r="F112" s="1">
        <v>3.0499999999999999E-5</v>
      </c>
      <c r="G112">
        <f t="shared" si="1"/>
        <v>4.8096761000000002E-2</v>
      </c>
      <c r="H112" t="s">
        <v>19</v>
      </c>
      <c r="I112" t="s">
        <v>24</v>
      </c>
      <c r="J112">
        <v>0.78947368399999995</v>
      </c>
      <c r="K112" t="s">
        <v>13</v>
      </c>
      <c r="L112" t="s">
        <v>15</v>
      </c>
    </row>
    <row r="113" spans="1:18" x14ac:dyDescent="0.25">
      <c r="A113" t="s">
        <v>277</v>
      </c>
      <c r="B113">
        <v>1</v>
      </c>
      <c r="C113">
        <v>0.16669999999999999</v>
      </c>
      <c r="D113">
        <v>0.40799999999999997</v>
      </c>
      <c r="E113">
        <v>4.7E-2</v>
      </c>
      <c r="F113" s="1">
        <v>2.9899999999999998E-5</v>
      </c>
      <c r="G113">
        <f t="shared" si="1"/>
        <v>4.8126661000000001E-2</v>
      </c>
      <c r="H113" t="s">
        <v>81</v>
      </c>
      <c r="I113" t="s">
        <v>15</v>
      </c>
      <c r="J113">
        <v>0.73926380400000002</v>
      </c>
      <c r="K113" t="s">
        <v>13</v>
      </c>
      <c r="L113" t="s">
        <v>15</v>
      </c>
    </row>
    <row r="114" spans="1:18" x14ac:dyDescent="0.25">
      <c r="A114" t="s">
        <v>309</v>
      </c>
      <c r="B114">
        <v>0.93140000000000001</v>
      </c>
      <c r="C114">
        <v>0.16669999999999999</v>
      </c>
      <c r="D114">
        <v>0.39400000000000002</v>
      </c>
      <c r="E114">
        <v>4.2000000000000003E-2</v>
      </c>
      <c r="F114" s="1">
        <v>2.8600000000000001E-5</v>
      </c>
      <c r="G114">
        <f t="shared" si="1"/>
        <v>4.8155260999999998E-2</v>
      </c>
      <c r="H114" t="s">
        <v>12</v>
      </c>
      <c r="I114" t="s">
        <v>35</v>
      </c>
      <c r="J114">
        <v>0.72754490999999999</v>
      </c>
    </row>
    <row r="115" spans="1:18" x14ac:dyDescent="0.25">
      <c r="A115" t="s">
        <v>276</v>
      </c>
      <c r="B115">
        <v>1</v>
      </c>
      <c r="C115">
        <v>0.16669999999999999</v>
      </c>
      <c r="D115">
        <v>0.40799999999999997</v>
      </c>
      <c r="E115">
        <v>4.2000000000000003E-2</v>
      </c>
      <c r="F115" s="1">
        <v>2.6400000000000001E-5</v>
      </c>
      <c r="G115">
        <f t="shared" si="1"/>
        <v>4.8181661000000001E-2</v>
      </c>
      <c r="H115" t="s">
        <v>19</v>
      </c>
      <c r="I115" t="s">
        <v>34</v>
      </c>
      <c r="J115">
        <v>0.79566563499999998</v>
      </c>
      <c r="K115" t="s">
        <v>13</v>
      </c>
      <c r="L115" t="s">
        <v>15</v>
      </c>
    </row>
    <row r="116" spans="1:18" x14ac:dyDescent="0.25">
      <c r="A116" t="s">
        <v>250</v>
      </c>
      <c r="B116">
        <v>0.92769999999999997</v>
      </c>
      <c r="C116">
        <v>0.23330000000000001</v>
      </c>
      <c r="D116">
        <v>0.46500000000000002</v>
      </c>
      <c r="E116">
        <v>1.4E-2</v>
      </c>
      <c r="F116" s="1">
        <v>2.4700000000000001E-5</v>
      </c>
      <c r="G116">
        <f t="shared" si="1"/>
        <v>4.8206361000000003E-2</v>
      </c>
      <c r="H116" t="s">
        <v>12</v>
      </c>
      <c r="I116" t="s">
        <v>35</v>
      </c>
      <c r="J116">
        <v>0.79393939400000002</v>
      </c>
    </row>
    <row r="117" spans="1:18" x14ac:dyDescent="0.25">
      <c r="A117" t="s">
        <v>310</v>
      </c>
      <c r="B117">
        <v>1</v>
      </c>
      <c r="C117">
        <v>0.23330000000000001</v>
      </c>
      <c r="D117">
        <v>0.48299999999999998</v>
      </c>
      <c r="E117">
        <v>1.4E-2</v>
      </c>
      <c r="F117" s="1">
        <v>2.3099999999999999E-5</v>
      </c>
      <c r="G117">
        <f t="shared" si="1"/>
        <v>4.8229461000000001E-2</v>
      </c>
      <c r="H117" t="s">
        <v>25</v>
      </c>
      <c r="I117" t="s">
        <v>323</v>
      </c>
      <c r="J117">
        <v>0.98083067099999999</v>
      </c>
      <c r="K117" t="s">
        <v>32</v>
      </c>
      <c r="L117" t="s">
        <v>33</v>
      </c>
      <c r="M117" t="s">
        <v>57</v>
      </c>
      <c r="N117" t="s">
        <v>58</v>
      </c>
      <c r="O117" t="s">
        <v>92</v>
      </c>
      <c r="P117" t="s">
        <v>174</v>
      </c>
      <c r="Q117" t="s">
        <v>324</v>
      </c>
      <c r="R117" t="s">
        <v>323</v>
      </c>
    </row>
    <row r="118" spans="1:18" x14ac:dyDescent="0.25">
      <c r="A118" t="s">
        <v>311</v>
      </c>
      <c r="B118">
        <v>1</v>
      </c>
      <c r="C118">
        <v>0.23330000000000001</v>
      </c>
      <c r="D118">
        <v>0.48299999999999998</v>
      </c>
      <c r="E118">
        <v>1.0999999999999999E-2</v>
      </c>
      <c r="F118" s="1">
        <v>2.1999999999999999E-5</v>
      </c>
      <c r="G118">
        <f t="shared" si="1"/>
        <v>4.8251461000000002E-2</v>
      </c>
      <c r="H118" t="s">
        <v>30</v>
      </c>
      <c r="I118" t="s">
        <v>209</v>
      </c>
      <c r="J118">
        <v>0.86250000000000004</v>
      </c>
      <c r="K118" t="s">
        <v>32</v>
      </c>
      <c r="L118" t="s">
        <v>33</v>
      </c>
      <c r="M118" t="s">
        <v>209</v>
      </c>
    </row>
    <row r="119" spans="1:18" x14ac:dyDescent="0.25">
      <c r="A119" t="s">
        <v>312</v>
      </c>
      <c r="B119">
        <v>1</v>
      </c>
      <c r="C119">
        <v>0.16669999999999999</v>
      </c>
      <c r="D119">
        <v>0.40799999999999997</v>
      </c>
      <c r="E119">
        <v>4.4999999999999998E-2</v>
      </c>
      <c r="F119" s="1">
        <v>2.0400000000000001E-5</v>
      </c>
      <c r="G119">
        <f t="shared" si="1"/>
        <v>4.8271860999999999E-2</v>
      </c>
      <c r="H119" t="s">
        <v>12</v>
      </c>
      <c r="I119" t="s">
        <v>35</v>
      </c>
      <c r="J119">
        <v>0.77846153799999995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PM</vt:lpstr>
      <vt:lpstr>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XTuron</dc:creator>
  <cp:lastModifiedBy>xturon</cp:lastModifiedBy>
  <dcterms:created xsi:type="dcterms:W3CDTF">2023-05-29T15:35:06Z</dcterms:created>
  <dcterms:modified xsi:type="dcterms:W3CDTF">2023-11-16T14:16:46Z</dcterms:modified>
</cp:coreProperties>
</file>